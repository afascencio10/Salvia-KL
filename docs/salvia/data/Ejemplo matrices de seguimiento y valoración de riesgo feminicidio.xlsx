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namedSheetViews/namedSheetView1.xml" ContentType="application/vnd.ms-excel.namedsheetviews+xml"/>
  <Override PartName="/xl/tables/table28.xml" ContentType="application/vnd.openxmlformats-officedocument.spreadsheetml.table+xml"/>
  <Override PartName="/xl/tables/table29.xml" ContentType="application/vnd.openxmlformats-officedocument.spreadsheetml.table+xml"/>
  <Override PartName="/xl/namedSheetViews/namedSheetView2.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Vladimir Garcia\Desktop\"/>
    </mc:Choice>
  </mc:AlternateContent>
  <xr:revisionPtr revIDLastSave="0" documentId="8_{A6B4DB4C-2DF1-460D-ABCD-C2C60B8EB2FB}" xr6:coauthVersionLast="47" xr6:coauthVersionMax="47" xr10:uidLastSave="{00000000-0000-0000-0000-000000000000}"/>
  <bookViews>
    <workbookView xWindow="-108" yWindow="-108" windowWidth="23256" windowHeight="12456" firstSheet="2" activeTab="5" xr2:uid="{0B382043-97E9-4D3B-A355-0526B6F7C8C0}"/>
  </bookViews>
  <sheets>
    <sheet name="Hoja1" sheetId="5" state="hidden" r:id="rId1"/>
    <sheet name="Hoja4" sheetId="4" state="hidden" r:id="rId2"/>
    <sheet name="Tablas" sheetId="3" r:id="rId3"/>
    <sheet name="Nivel de riesgo" sheetId="2" r:id="rId4"/>
    <sheet name="Hoja2" sheetId="9" state="hidden" r:id="rId5"/>
    <sheet name="Seguimientos" sheetId="1" r:id="rId6"/>
  </sheets>
  <definedNames>
    <definedName name="_Hlk193819781">'Nivel de riesgo'!#REF!</definedName>
    <definedName name="_xlnm.Print_Area" localSheetId="5">Seguimientos!$1:$2</definedName>
    <definedName name="Barreras_Entidad">Tabla19[Barreras_Entidad]</definedName>
    <definedName name="Barreras_Justicia_Fiscalia">Tabla16[Barreras_Justicia_Fiscalia]</definedName>
    <definedName name="Barreras_Justicia_General">Tabla15[Barreras_Justicia_General]</definedName>
    <definedName name="Barreras_Justicia_INMLCF">Tabla18[Barreras_Justicia_INMLCF]</definedName>
    <definedName name="Barreras_Justicia_juzgado">Tabla17[Barreras_Justicia_juzgado]</definedName>
    <definedName name="Barreras_Proteccion_Comisaria">Tabla7[Barreras_Proteccion_Comisaria]</definedName>
    <definedName name="Barreras_Proteccion_Fiscalia">Tabla8[Barreras_Proteccion_Fiscalia]</definedName>
    <definedName name="Barreras_proteccion_inspeccion">Tabla11[Barreras_proteccion_Juzgado_municipal]</definedName>
    <definedName name="Barreras_proteccion_Juzgado_Garantias">Tabla9[Barreras_proteccion_Juzgado_Garantias]</definedName>
    <definedName name="Barreras_proteccion_Juzgado_municipal">Tabla11[Barreras_proteccion_Juzgado_municipal]</definedName>
    <definedName name="Barreras_proteccion_Policia">Tabla10[Barreras_proteccion_Policia]</definedName>
    <definedName name="Barreras_Salud">Tabla6[Barreras_Salud]</definedName>
    <definedName name="Barreras_UNP">Tabla14[Barreras_UNP]</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AM2" i="2"/>
  <c r="K2" i="1"/>
  <c r="F2" i="2"/>
  <c r="E2" i="2" s="1"/>
  <c r="C2" i="1"/>
  <c r="AA2" i="2"/>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1" i="5"/>
  <c r="E2" i="1" l="1"/>
  <c r="CP2" i="1"/>
  <c r="D2" i="2"/>
  <c r="D2" i="1" s="1"/>
  <c r="BD2" i="1" l="1"/>
  <c r="BO2" i="1"/>
  <c r="AH2" i="1"/>
  <c r="AS2" i="1"/>
  <c r="AQ2" i="1" s="1"/>
  <c r="L2" i="1"/>
  <c r="W2" i="1"/>
  <c r="U2" i="1" l="1"/>
  <c r="BZ2" i="1"/>
</calcChain>
</file>

<file path=xl/sharedStrings.xml><?xml version="1.0" encoding="utf-8"?>
<sst xmlns="http://schemas.openxmlformats.org/spreadsheetml/2006/main" count="715" uniqueCount="306">
  <si>
    <t>1- Cédula de Ciudadanía - C.C.</t>
  </si>
  <si>
    <t>9- Permiso por Protección Temporal (PPT)</t>
  </si>
  <si>
    <t>ANÓNIMO</t>
  </si>
  <si>
    <t>Salud</t>
  </si>
  <si>
    <t>Centro Médico / Clínica / Hospital / Ese (servicio de urgencias) </t>
  </si>
  <si>
    <t>Entidad Promotora de Salud </t>
  </si>
  <si>
    <t>Institución Prestadora de Servicios de Salud </t>
  </si>
  <si>
    <t>Protección </t>
  </si>
  <si>
    <t>Comisaría de Familia </t>
  </si>
  <si>
    <t>Juzgado de Control de Garantías </t>
  </si>
  <si>
    <t>Fiscalía General de la Nación </t>
  </si>
  <si>
    <t>Policía Nacional </t>
  </si>
  <si>
    <t>(Si no hay Comisaría de Familia): </t>
  </si>
  <si>
    <t>Juzgado Civil Municipal </t>
  </si>
  <si>
    <t>Juzgado Promiscuo Municipal  </t>
  </si>
  <si>
    <t>Inspección de Policía </t>
  </si>
  <si>
    <t>Unidad Nacional de Protección </t>
  </si>
  <si>
    <t>Justicia </t>
  </si>
  <si>
    <t xml:space="preserve">Recepción de denuncias - Policía Judicial (SIJIN, DIJIN, CTI) Fiscalía General de la Nación / Policía Nacional </t>
  </si>
  <si>
    <t>Fiscalía General de la Nación - Asignado a proceso penal </t>
  </si>
  <si>
    <t>Juzgado Penal con Función de Conocimiento </t>
  </si>
  <si>
    <t>Instituto Nacional de Medicina Legal y Ciencias Forenses – Instituciones de salud autorizadas </t>
  </si>
  <si>
    <r>
      <t>Entidad territorial</t>
    </r>
    <r>
      <rPr>
        <sz val="14"/>
        <rFont val="Aptos"/>
        <family val="2"/>
      </rPr>
      <t> </t>
    </r>
  </si>
  <si>
    <t>Entidad territorial</t>
  </si>
  <si>
    <r>
      <t>Acompañamiento para dirimir barreras: Ministerio Público - Entidad territorial</t>
    </r>
    <r>
      <rPr>
        <sz val="14"/>
        <rFont val="Aptos"/>
        <family val="2"/>
      </rPr>
      <t> </t>
    </r>
  </si>
  <si>
    <t>Defensoría del Pueblo </t>
  </si>
  <si>
    <t>Personería Municipal / Distrital </t>
  </si>
  <si>
    <t>Procuraduría General de la Nación </t>
  </si>
  <si>
    <t>Entidad territorial (secretaría de mujer, enlace de género o quien haga sus veces) </t>
  </si>
  <si>
    <t xml:space="preserve">Mecanismo Articulador Territorial </t>
  </si>
  <si>
    <t>Sector</t>
  </si>
  <si>
    <t>Ámbitos</t>
  </si>
  <si>
    <t>Nivel de riesgo</t>
  </si>
  <si>
    <t>Tipo documento</t>
  </si>
  <si>
    <t>Barreras_Salud</t>
  </si>
  <si>
    <t>Barreras_Proteccion_Comisaria</t>
  </si>
  <si>
    <t>Barreras_Proteccion_Fiscalia</t>
  </si>
  <si>
    <t>Barreras_proteccion_Juzgado_Garantias</t>
  </si>
  <si>
    <t>Barreras_proteccion_Policia</t>
  </si>
  <si>
    <t>Barreras_proteccion_Juzgado_municipal</t>
  </si>
  <si>
    <t>Barreras_proteccion_inspeccion</t>
  </si>
  <si>
    <t>Barreras_UNP</t>
  </si>
  <si>
    <t>Barreras_Justicia_General</t>
  </si>
  <si>
    <t>Barreras_Justicia_Fiscalia</t>
  </si>
  <si>
    <t>Barreras_Justicia_juzgado</t>
  </si>
  <si>
    <t>Barreras_Justicia_INMLCF</t>
  </si>
  <si>
    <t>Barreras_Entidad</t>
  </si>
  <si>
    <t>Sector Barreras</t>
  </si>
  <si>
    <t>Profesionales</t>
  </si>
  <si>
    <t xml:space="preserve">Sector salud  </t>
  </si>
  <si>
    <t xml:space="preserve">Ámbito familiar </t>
  </si>
  <si>
    <t>Bajo</t>
  </si>
  <si>
    <t>Aseguramiento en salud, cobro de cuotas moderadoras </t>
  </si>
  <si>
    <t>Demora injustificada en la atención </t>
  </si>
  <si>
    <r>
      <t xml:space="preserve">Otorgamiento </t>
    </r>
    <r>
      <rPr>
        <sz val="11"/>
        <color rgb="FF000000"/>
        <rFont val="Aptos"/>
        <family val="2"/>
      </rPr>
      <t>medida de protección</t>
    </r>
    <r>
      <rPr>
        <sz val="11"/>
        <rFont val="Aptos"/>
        <family val="2"/>
      </rPr>
      <t xml:space="preserve"> provisional </t>
    </r>
  </si>
  <si>
    <t>Información acerca del estado del proceso o citaciones al mismo </t>
  </si>
  <si>
    <t>Realización del examen médico- legal </t>
  </si>
  <si>
    <t>Adriana Alejandra Garibello Manrique</t>
  </si>
  <si>
    <t xml:space="preserve">Sector Protección  </t>
  </si>
  <si>
    <t xml:space="preserve">Ámbito político </t>
  </si>
  <si>
    <t>Medio</t>
  </si>
  <si>
    <t>2- Tarjeta de identidad - T.I.</t>
  </si>
  <si>
    <t>Atención en urgencias </t>
  </si>
  <si>
    <t>Otorgamiento de medida de protección provisional </t>
  </si>
  <si>
    <t>Solicitud de medida de protección  </t>
  </si>
  <si>
    <t>Actitud revictimizante de funcionarios(as) </t>
  </si>
  <si>
    <t>Incumplimiento a órdenes impartidas por autoridad administrativa </t>
  </si>
  <si>
    <t>Otorgamiento medida de protección provisional </t>
  </si>
  <si>
    <t>Valoración del riesgo asociado a la labor </t>
  </si>
  <si>
    <t>Recepción de denuncia  </t>
  </si>
  <si>
    <t>Solicitudes injustificadas de aplazamiento </t>
  </si>
  <si>
    <t>Aplazamientos injustificados </t>
  </si>
  <si>
    <t>Prestación de las medidas de atención </t>
  </si>
  <si>
    <t xml:space="preserve">Andrés Vera Herrera </t>
  </si>
  <si>
    <t xml:space="preserve">Sector Justicia  </t>
  </si>
  <si>
    <t>Ámbito diferente</t>
  </si>
  <si>
    <t>Alto</t>
  </si>
  <si>
    <t>3- Cédula de extranjería - C.E.</t>
  </si>
  <si>
    <t>Programación de citas médicas </t>
  </si>
  <si>
    <t>Otorgamiento de medida de protección definitiva </t>
  </si>
  <si>
    <t>Activación de la ruta de atención integral </t>
  </si>
  <si>
    <t>Acudir como primer respondiente frente a actos urgentes, incluyendo capturas en flagrancia </t>
  </si>
  <si>
    <t>Otorgamiento medida de protección definitiva </t>
  </si>
  <si>
    <t>Remisión a Instituto Nacional de Medicina Legal y Ciencias Forenses para valoración médico- legal </t>
  </si>
  <si>
    <t>Impulso procesal (actos de investigación, ampliación de denuncia) </t>
  </si>
  <si>
    <t>Impulso procesal  </t>
  </si>
  <si>
    <t xml:space="preserve">Angie Ximena Suárez Salgado </t>
  </si>
  <si>
    <t xml:space="preserve">Entidad Territorial </t>
  </si>
  <si>
    <t>4- Registro civil - R.C.</t>
  </si>
  <si>
    <t>Continuidad en tratamiento </t>
  </si>
  <si>
    <t>Otorgamiento de medida de atención </t>
  </si>
  <si>
    <t>Otorgamiento medida de atención </t>
  </si>
  <si>
    <t>Valoración del riesgo </t>
  </si>
  <si>
    <t xml:space="preserve">Aura Geraldine Valencia Carvajal </t>
  </si>
  <si>
    <t>Ministerio Público</t>
  </si>
  <si>
    <t>5- DNI (país de origen)</t>
  </si>
  <si>
    <t>Entrega de medicamentos </t>
  </si>
  <si>
    <t>Seguimiento a la medida de protección / atención </t>
  </si>
  <si>
    <t>BRAYAN YESID GUTIERREZ TELLEZ</t>
  </si>
  <si>
    <t>6- Pasaporte - PAS</t>
  </si>
  <si>
    <t>No se realiza valoración del riesgo </t>
  </si>
  <si>
    <t xml:space="preserve">Carlos Alberto Borda Ladino </t>
  </si>
  <si>
    <t>Atención</t>
  </si>
  <si>
    <t>7- Salvoconducto para refugiados - SVC</t>
  </si>
  <si>
    <t>CARLOS PEDRAZA</t>
  </si>
  <si>
    <t>Sí</t>
  </si>
  <si>
    <t>8- Permiso Especial de Permanencia (PEP)</t>
  </si>
  <si>
    <t xml:space="preserve">Christian Evaristo Aguilar Castiblanco </t>
  </si>
  <si>
    <t>No</t>
  </si>
  <si>
    <t xml:space="preserve">Claudia Marcela Riaño </t>
  </si>
  <si>
    <t>99- Sin información - SN</t>
  </si>
  <si>
    <t>Daniel Córdoba Guevara</t>
  </si>
  <si>
    <t>Seguimiento</t>
  </si>
  <si>
    <t>Estado</t>
  </si>
  <si>
    <t>Darwin Ramirez</t>
  </si>
  <si>
    <t>Prioritario</t>
  </si>
  <si>
    <t>Traslado</t>
  </si>
  <si>
    <t xml:space="preserve">Diana Katherine Becerra Rodríguez </t>
  </si>
  <si>
    <t>A</t>
  </si>
  <si>
    <t>B</t>
  </si>
  <si>
    <t>C</t>
  </si>
  <si>
    <t>Pendiente</t>
  </si>
  <si>
    <t xml:space="preserve">Edith Julieth Cubillos piragauta </t>
  </si>
  <si>
    <t>Al dia</t>
  </si>
  <si>
    <t>Ninguna barrera identificada</t>
  </si>
  <si>
    <t xml:space="preserve">Felipe Andrés Gómez Tellez </t>
  </si>
  <si>
    <t xml:space="preserve">fredy enrique soraca valero </t>
  </si>
  <si>
    <t>Gabriel roberto corredor garcia</t>
  </si>
  <si>
    <t xml:space="preserve">Gunkeywia Torres Chaparro </t>
  </si>
  <si>
    <t>Henry Ernesto  salazar carrillo</t>
  </si>
  <si>
    <t>Heyder Fabián Guerrero</t>
  </si>
  <si>
    <t xml:space="preserve">Ivett Porras </t>
  </si>
  <si>
    <t xml:space="preserve">Jason Saenz Ospina </t>
  </si>
  <si>
    <t xml:space="preserve">Jeimy Paola Antonio Poveda </t>
  </si>
  <si>
    <t>JENNIFER GERALDINNE VELANDIA NOVOA</t>
  </si>
  <si>
    <t>Jennifer Palomino Alarcón</t>
  </si>
  <si>
    <t xml:space="preserve">Jenny Elizeth Vega León </t>
  </si>
  <si>
    <t xml:space="preserve">Jenny Paola Cruz Alfonso </t>
  </si>
  <si>
    <t>Jessica M. Niño Vivas</t>
  </si>
  <si>
    <t xml:space="preserve">Jhensen Lisbeth Hurtado Reales </t>
  </si>
  <si>
    <t xml:space="preserve">José Felipe Calixto </t>
  </si>
  <si>
    <t>Kimberly Natalia Tovar Vargas</t>
  </si>
  <si>
    <t xml:space="preserve">Laura Patricia Soler Velasco </t>
  </si>
  <si>
    <t xml:space="preserve">Liceth romero </t>
  </si>
  <si>
    <t>Lina Lucero lozano H</t>
  </si>
  <si>
    <t xml:space="preserve">Lina Marcela Roa Arciniegas </t>
  </si>
  <si>
    <t>Lorena Pechene</t>
  </si>
  <si>
    <t>LUIS ALBERTO MANCERA BEJARANO</t>
  </si>
  <si>
    <t xml:space="preserve">LUZ MARY QUIÑONES </t>
  </si>
  <si>
    <t>María Fernanda Quintero</t>
  </si>
  <si>
    <t xml:space="preserve">Maria Fernanda Quintero </t>
  </si>
  <si>
    <t>María Suancha López</t>
  </si>
  <si>
    <t xml:space="preserve">Mauricio Rojas </t>
  </si>
  <si>
    <t xml:space="preserve">Michael Antonio Guayana Talero </t>
  </si>
  <si>
    <t xml:space="preserve">Natalia Grisales Martinez </t>
  </si>
  <si>
    <t xml:space="preserve">Natalia Uribe Tapasco </t>
  </si>
  <si>
    <t xml:space="preserve">Nidia Chabur Chaves </t>
  </si>
  <si>
    <t xml:space="preserve">Nimia Esther Mena Mena </t>
  </si>
  <si>
    <t xml:space="preserve">Pablo Camilo Nova Villalobos </t>
  </si>
  <si>
    <t>Paola Andrea Mosquera Chima</t>
  </si>
  <si>
    <t>Rocío del pilar Escobedo romero</t>
  </si>
  <si>
    <t xml:space="preserve">Sandra Milena Briceño </t>
  </si>
  <si>
    <t>Sergio Daniel Prieto Salas</t>
  </si>
  <si>
    <t xml:space="preserve">Yoana romero </t>
  </si>
  <si>
    <t xml:space="preserve">Yurani Sileni Cuchivaque Díaz </t>
  </si>
  <si>
    <t>Columna3</t>
  </si>
  <si>
    <t>Tipo ID</t>
  </si>
  <si>
    <t>Numero ID</t>
  </si>
  <si>
    <t>Nivel Riesgo</t>
  </si>
  <si>
    <t>Puntaje</t>
  </si>
  <si>
    <t>1. Violencia física en presencia de los hijos y otros familiares  </t>
  </si>
  <si>
    <t>2. Aumento de la frecuencia y de la gravedad de los incidentes violentos  </t>
  </si>
  <si>
    <t>3. Agresión con objetos peligrosos o con armas de cualquier tipo  </t>
  </si>
  <si>
    <t>4. Celos muy intensos o conductas controladoras sobre la pareja en los últimos seis meses  </t>
  </si>
  <si>
    <t>5. Historial de conductas violentas con una pareja anterior  </t>
  </si>
  <si>
    <t>6. Historial de conductas violentas con otras personas (amigos, compañeros de trabajo, etc.) </t>
  </si>
  <si>
    <t>7. Consumo abusivo de alcohol o drogas  </t>
  </si>
  <si>
    <t>8. Justificación de las conducta violentas por su propio estado (alcohol, drogas, estrés) o por la provocación de la víctima  </t>
  </si>
  <si>
    <t>9. Vulnerabilidad de la víctima por razón de enfermedad soledad o dependencia  </t>
  </si>
  <si>
    <t>89</t>
  </si>
  <si>
    <t>Columna1</t>
  </si>
  <si>
    <t>Columna2</t>
  </si>
  <si>
    <t>1. Violencia física en presencia de los hijos y otros familiares  2</t>
  </si>
  <si>
    <t>2. Aumento de la frecuencia y de la gravedad de los incidentes violentos  3</t>
  </si>
  <si>
    <t>3. Agresión con objetos peligrosos o con armas de cualquier tipo  4</t>
  </si>
  <si>
    <t>4. Celos muy intensos o conductas controladoras sobre la pareja en los últimos seis meses  5</t>
  </si>
  <si>
    <t>5. Historial de conductas violentas con una pareja anterior  6</t>
  </si>
  <si>
    <t>6. Historial de conductas violentas con otras personas (amigos, compañeros de trabajo, etc.) 7</t>
  </si>
  <si>
    <t>7. Consumo abusivo de alcohol o drogas  8</t>
  </si>
  <si>
    <t>8. Justificación de las conducta violentas por su propio estado (alcohol, drogas, estrés) o por la provocación de la víctima  9</t>
  </si>
  <si>
    <t>9. Vulnerabilidad de la víctima por razón de enfermedad soledad o dependencia  10</t>
  </si>
  <si>
    <t>Resultado revaloración riesgo</t>
  </si>
  <si>
    <t>Columna4</t>
  </si>
  <si>
    <t>Columna5</t>
  </si>
  <si>
    <t>Columna6</t>
  </si>
  <si>
    <t>Columna7</t>
  </si>
  <si>
    <t>Columna8</t>
  </si>
  <si>
    <t>Columna9</t>
  </si>
  <si>
    <t>Columna10</t>
  </si>
  <si>
    <t>Columna11</t>
  </si>
  <si>
    <t>Columna12</t>
  </si>
  <si>
    <t>Columna13</t>
  </si>
  <si>
    <t>Columna14</t>
  </si>
  <si>
    <t>Priorizado</t>
  </si>
  <si>
    <t xml:space="preserve">06/11/2024 9:15 am XImena Suárez para realziación de tamizaje y no contestó las dos llamadas realziadas,
El caso entró a seguimiento sin tamizaje.
11-11  Lina MArcela: Devolución de llamada para tamizaje del equipo de riesgo, pero la llamada se fue a buzón de voz.
no cuenta con contacto seguro.
14-11 Lina MArcela: Devolución de llamada para tamizaje del equipo de riesgo, pero la llamada se fue a buzón de voz.
no cuenta con contacto seguro.  
15/11/2024 8:10 AM Se realizan 2 llamados, pero no se contesta (Ximena)
25-11-2024, 9:32 Lina MArcela  Devolución de llamada para tamizaje del equipo de riesgo, pero la llamada se fue a buzón de voz.
no cuenta con contacto seguro.
29-11-2024 7: 38 y 7:42 Lina MArcela: 3 intentos para tamizaje del equipo de riesgo, pero la llamada se fue a buzón de voz.
no cuenta con contacto seguro.                                                                                                                                                                                                                                                                                              05/12/2024 8:30pm (Christian Aguilar)   se realizo el contacto con la victima ANGIE CATHERINE RODRRIGUEZ SAAVEDRA al numero  3103086406, se realizaron tres llamadas pero no contesta y remite a buzón de voz.  </t>
  </si>
  <si>
    <t xml:space="preserve">1016713312
</t>
  </si>
  <si>
    <t xml:space="preserve">1102387177
</t>
  </si>
  <si>
    <t xml:space="preserve">1022933338
</t>
  </si>
  <si>
    <t xml:space="preserve">Casos Priorizados riesgo más de 15 </t>
  </si>
  <si>
    <t>Cédula</t>
  </si>
  <si>
    <t>EE</t>
  </si>
  <si>
    <t>Número ID</t>
  </si>
  <si>
    <t>Nivel riesgo</t>
  </si>
  <si>
    <t>Puntaje riesgo</t>
  </si>
  <si>
    <t>Profesional que realizó tamizaje inicial</t>
  </si>
  <si>
    <t>Fecha de atención</t>
  </si>
  <si>
    <t>Avance seguimiento</t>
  </si>
  <si>
    <t>Total seguimientos</t>
  </si>
  <si>
    <t>Prioridad</t>
  </si>
  <si>
    <t>Alerta pendientes</t>
  </si>
  <si>
    <t>Primer seguimiento</t>
  </si>
  <si>
    <t>¿Se hizo seguimiento?</t>
  </si>
  <si>
    <t>La persona fue a la entidad</t>
  </si>
  <si>
    <t>Recibió atención?</t>
  </si>
  <si>
    <t>Sector barreras</t>
  </si>
  <si>
    <t>Barreras</t>
  </si>
  <si>
    <t>Nombre entidad Barreras</t>
  </si>
  <si>
    <t>Comentarios</t>
  </si>
  <si>
    <t>¿Se elaboraron documentos del caso?</t>
  </si>
  <si>
    <t>Persona que hace seguimiento</t>
  </si>
  <si>
    <t>Segundo seguimiento</t>
  </si>
  <si>
    <t>¿se hizo seguimiento?2</t>
  </si>
  <si>
    <t>Sector2</t>
  </si>
  <si>
    <t>La persona fue a la entidad2</t>
  </si>
  <si>
    <t>Recibió atención?2</t>
  </si>
  <si>
    <t>Sector barreras2</t>
  </si>
  <si>
    <t>Barreras2</t>
  </si>
  <si>
    <t>Nombre entidad Barreras2</t>
  </si>
  <si>
    <t>Comentarios2</t>
  </si>
  <si>
    <t>¿Se elaboraron documentos del caso?2</t>
  </si>
  <si>
    <t>Persona que hace seguimiento2</t>
  </si>
  <si>
    <t>Tercer seguimiento</t>
  </si>
  <si>
    <t>¿Se hizo seguimiento?3</t>
  </si>
  <si>
    <t>Sector3</t>
  </si>
  <si>
    <t>La persona fue a la entidad3</t>
  </si>
  <si>
    <t>Recibió atención?3</t>
  </si>
  <si>
    <t>Sector barreras3</t>
  </si>
  <si>
    <t>Barreras3</t>
  </si>
  <si>
    <t>Nombre entidad Barreras3</t>
  </si>
  <si>
    <t>Comentarios3</t>
  </si>
  <si>
    <t>¿Se elaboraron documentos del caso?3</t>
  </si>
  <si>
    <t>Persona que hace seguimiento3</t>
  </si>
  <si>
    <t>Cuarto seguimiento</t>
  </si>
  <si>
    <t>¿Se hizo seguimiento?4</t>
  </si>
  <si>
    <t>Sector4</t>
  </si>
  <si>
    <t>La persona fue a la entidad4</t>
  </si>
  <si>
    <t>Recibió atención?4</t>
  </si>
  <si>
    <t>Sector barreras4</t>
  </si>
  <si>
    <t>Barreras4</t>
  </si>
  <si>
    <t>Nombre entidad Barreras4</t>
  </si>
  <si>
    <t>Comentarios4</t>
  </si>
  <si>
    <t>¿Se elaboraron documentos del caso?4</t>
  </si>
  <si>
    <t>Persona que hace seguimiento4</t>
  </si>
  <si>
    <t>Quinto seguimiento</t>
  </si>
  <si>
    <t>¿Se hizo seguimiento?5</t>
  </si>
  <si>
    <t>Sector5</t>
  </si>
  <si>
    <t>La persona fue a la entidad5</t>
  </si>
  <si>
    <t>Recibió atención?5</t>
  </si>
  <si>
    <t>Sector barreras5</t>
  </si>
  <si>
    <t>Barreras5</t>
  </si>
  <si>
    <t>Nombre entidad Barreras5</t>
  </si>
  <si>
    <t>7</t>
  </si>
  <si>
    <t>¿Se elaboraron docuemntos del caso?</t>
  </si>
  <si>
    <t>Persona que hace seguimiento5</t>
  </si>
  <si>
    <t>Sexto seguimiento</t>
  </si>
  <si>
    <t>¿Se hizo seguimiento?6</t>
  </si>
  <si>
    <t>Sector6</t>
  </si>
  <si>
    <t>La persona fue a la entidad6</t>
  </si>
  <si>
    <t>Recibió atención?6</t>
  </si>
  <si>
    <t>Sector barreras6</t>
  </si>
  <si>
    <t>Barreras6</t>
  </si>
  <si>
    <t>Nombre entidad Barreras6</t>
  </si>
  <si>
    <t>Comentarios6</t>
  </si>
  <si>
    <t>¿se elaboraron documentos del caso?5</t>
  </si>
  <si>
    <t>Persona que hace seguimiento6</t>
  </si>
  <si>
    <t>Séptimo seguimiento</t>
  </si>
  <si>
    <t>¿Se hizo seguimiento?7</t>
  </si>
  <si>
    <t>Sector7</t>
  </si>
  <si>
    <t>La persona fue a la entidad7</t>
  </si>
  <si>
    <t>Recibió atención?7</t>
  </si>
  <si>
    <t>Sector barreras7</t>
  </si>
  <si>
    <t>Barreras7</t>
  </si>
  <si>
    <t>Nombre entidad Barreras7</t>
  </si>
  <si>
    <t>Comentarios7</t>
  </si>
  <si>
    <t>¿Se elaboraron documentos del caso?6</t>
  </si>
  <si>
    <t>Persona que hace seguimiento7</t>
  </si>
  <si>
    <t>Observación final</t>
  </si>
  <si>
    <t>Caso cerrado</t>
  </si>
  <si>
    <t>¿Continúa el caso?</t>
  </si>
  <si>
    <t>Acciones por adelantar</t>
  </si>
  <si>
    <t xml:space="preserve">Se establece comunicación de seguimiento por VIF con la señora Camila Alexandra, al consultar sobre la situación reportada refiere que el día de hoy la atendieron en la EPS, al respecto comenta: “me encontraron rastros de sangre en el oído me dieron 4 días de incapacidad y con Trabajo social. Se indaga si ya denuncio los hechos en la Comisaria de Familia y manifiesta: “No alcance a solicitar medida de protección debido a que salí tarde del médico”. Del mismo modo comenta: “Me llamaron de la línea purpura y me indicaron dónde es”. La señora Camila Alexandra informa que vive con su abuela de 67 años y su hija de un año, la cual es hija de su ex pareja, comenta: “Él es desde ese día esta como que yo le firme papeles para renunciar a todos los derechos de mi hija. Él siempre me ha tratado muy mal, pero llegar a pegarme hasta ahora”. Aporta número de noticia criminal de la Fiscalía General de la Nación # 110016000052202427087, con fecha 1 de noviembre de 2024. Al realizar las preguntas del Tamizaje manifiesta: “Antes me empujaba, me trataba mal hasta, me estrujaba, el 31 me agredió físicamente, me dio un puño me dice que soy una prostituta si utilizo escotes, siempre me dice que yo me vendo por redes. Dice que era mi culpa que yo me buscaba las cosas, que todo era mi culpa. Redes de apoyo: soy sola con mi hija,”. Confirma que su ex pareja consume marihuana y que le ha visto portar perico, pero no sabe si consume. 
Se orienta para que se acerqué a la Comisaria de familia a denunciar los hechos y solicitar una Medida de Protección, del mismo modo se recomienda no tener contacto con el agresor y tomar todas las medidas de precaución. La señora Camila Alexandra confirma que conoce donde queda la Comisaria de familia y que el día de mañana a medio día se acercara. Por otra parte, se le informa que estaremos comunicándonos con ella para continuar apoyando su caso, se percibe asertiva.  </t>
  </si>
  <si>
    <t>Se realizan tres llamadas el 06/11/2024 a las 12.04 m pero la mujer no constesta. 06/11/2024 Siendo las 17 25 se realiza llamada a la señora Ia Señora Camila Alexandra Torres Ariza, pero la llamada es direccionada al buzón de voz  (Luis Mancera)</t>
  </si>
  <si>
    <t xml:space="preserve">Se realiza dos llamadas de seguimiento, 17:34 07/11/2024 no contesta.                                                                                                                      
                                                                                                                          </t>
  </si>
  <si>
    <t>9/11/2024    Nimia Mena 2:40) Se intenta en varias oportunidades de establecer comunicación con la usuaria en el número de celular 3105621071, sin embargo, el abonado se va directo al buzón de voz.                                                                                                                12/11/2024 18:31 (Jeimy Paola Antonio Poveda ) Se realiza marcación dos veces, la marcación es rdirigida a correo de voz                                                                                                                         15/11/2024 3pm (Christian Aguilar)  ya entregaron el caso a Comisario Kennedy  por medio seceretaria de salud  y Fiscalia ya recibio la denuncia, pero en el monto de la llamada no tiene los documentos a la mano. mñana 19/11/2024 va ir a la comiasaria más cercana.</t>
  </si>
  <si>
    <t>27/12/2024, (Luis Mancera), Se realiza llamada de seguimiento para conocer el estado al igual que el seguimiento del caso por las entidades ante el evento de VBG reportado por la señora Camila Alexandra Torres González, logrando contacto efectivo e informa “estoy en el transporte publico y si puedo hablar. El 18 de diciembre me dieron la medida definitiva de protección en la comisaria prohibiendo que el se me acerque y regulando las visitas supervisadas a la niña. Radique la MP en la Estación de policía. No se han presentando nuevos hechos de violencia posterior al proceso de MP”. Se informa de la finalidad del seguimiento en busca de eliminar las violencias en contra de las mujeres y se solicita información de los procesos en comisaria y medida de protección que se solicitara el día de mañana cuando tenga acceso a estos documentos. Se recuerda estrategias de autoprotección y línea de emergencias 123 en caso de riesgo inminente. Se acuerda llamar el día 28 diciembre después de las 8 am</t>
  </si>
  <si>
    <t xml:space="preserve">Tamizaje: Puntaje 12, nivel alto. 
Salvia: Si está, con datos completos. 
Seguimiento: Fue atendida por hospital, tiene  noticia criminal, se enrutó para Comisaría de familia, posteriormente se realizan 4 días de llamadas no efectivas, no se ha vuelto a contactar. 
Pendiente: retomar seguimiento con la señora para validar MP y si se han presentado nuevos hechos. 
 La ciudadana no contesta, situación que ha sido constante. No cuenta con persona de confianza para realizar contacto, 
08/07/2025  9:20 am. Ximena Suárez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</si>
</sst>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b/>
      <sz val="11"/>
      <color theme="1"/>
      <name val="Aptos Narrow"/>
      <family val="2"/>
      <scheme val="minor"/>
    </font>
    <font>
      <sz val="11"/>
      <color rgb="FF000000"/>
      <name val="Aptos"/>
      <family val="2"/>
    </font>
    <font>
      <sz val="11"/>
      <name val="Aptos"/>
      <family val="2"/>
    </font>
    <font>
      <sz val="12"/>
      <name val="Aptos"/>
      <family val="2"/>
    </font>
    <font>
      <sz val="10"/>
      <color theme="1"/>
      <name val="Aptos Narrow"/>
      <family val="2"/>
      <scheme val="minor"/>
    </font>
    <font>
      <b/>
      <sz val="10"/>
      <name val="Aptos"/>
      <family val="2"/>
    </font>
    <font>
      <b/>
      <sz val="10"/>
      <color theme="0"/>
      <name val="Aptos Narrow"/>
      <family val="2"/>
      <scheme val="minor"/>
    </font>
    <font>
      <sz val="9"/>
      <color theme="1"/>
      <name val="Aptos Narrow"/>
      <family val="2"/>
      <scheme val="minor"/>
    </font>
    <font>
      <b/>
      <sz val="11"/>
      <name val="Aptos Narrow"/>
      <family val="2"/>
      <scheme val="minor"/>
    </font>
    <font>
      <sz val="11"/>
      <color theme="6" tint="-0.499984740745262"/>
      <name val="Aptos Narrow"/>
      <family val="2"/>
      <scheme val="minor"/>
    </font>
    <font>
      <b/>
      <sz val="14"/>
      <name val="Aptos"/>
      <family val="2"/>
    </font>
    <font>
      <sz val="14"/>
      <name val="Aptos"/>
      <family val="2"/>
    </font>
    <font>
      <sz val="8"/>
      <name val="Aptos Narrow"/>
      <family val="2"/>
      <scheme val="minor"/>
    </font>
    <font>
      <b/>
      <sz val="10"/>
      <color theme="0"/>
      <name val="Aptos"/>
      <family val="2"/>
    </font>
    <font>
      <sz val="11"/>
      <name val="Aptos Narrow"/>
      <family val="2"/>
      <scheme val="minor"/>
    </font>
    <font>
      <sz val="11"/>
      <color rgb="FFFF0000"/>
      <name val="Aptos Narrow"/>
      <family val="2"/>
      <scheme val="minor"/>
    </font>
    <font>
      <sz val="9"/>
      <color rgb="FF212529"/>
      <name val="Nunito Sans"/>
    </font>
    <font>
      <sz val="11"/>
      <color rgb="FF000000"/>
      <name val="Aptos Narrow"/>
      <family val="2"/>
      <scheme val="minor"/>
    </font>
    <font>
      <b/>
      <sz val="9"/>
      <color rgb="FF212529"/>
      <name val="Nunito Sans"/>
    </font>
    <font>
      <sz val="10"/>
      <color rgb="FFFF0000"/>
      <name val="Aptos Narrow"/>
      <family val="2"/>
      <scheme val="minor"/>
    </font>
    <font>
      <sz val="10"/>
      <color rgb="FF000000"/>
      <name val="Aptos Narrow"/>
      <family val="2"/>
    </font>
    <font>
      <sz val="11"/>
      <color rgb="FF9C0006"/>
      <name val="Aptos Narrow"/>
      <family val="2"/>
      <scheme val="minor"/>
    </font>
    <font>
      <sz val="11"/>
      <color theme="1"/>
      <name val="Aptos Narrow"/>
      <family val="2"/>
      <scheme val="minor"/>
    </font>
    <font>
      <b/>
      <sz val="10"/>
      <color rgb="FF000000"/>
      <name val="Aptos"/>
      <family val="2"/>
    </font>
    <font>
      <sz val="11"/>
      <color theme="0"/>
      <name val="Aptos Narrow"/>
      <family val="2"/>
      <scheme val="minor"/>
    </font>
    <font>
      <sz val="10"/>
      <color theme="0"/>
      <name val="Aptos Narrow"/>
      <family val="2"/>
      <scheme val="minor"/>
    </font>
    <font>
      <u/>
      <sz val="11"/>
      <color theme="10"/>
      <name val="Aptos Narrow"/>
      <family val="2"/>
      <scheme val="minor"/>
    </font>
  </fonts>
  <fills count="1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D0DBF0"/>
        <bgColor indexed="64"/>
      </patternFill>
    </fill>
    <fill>
      <patternFill patternType="solid">
        <fgColor theme="8"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1"/>
        <bgColor indexed="64"/>
      </patternFill>
    </fill>
    <fill>
      <patternFill patternType="solid">
        <fgColor theme="1" tint="0.499984740745262"/>
        <bgColor indexed="64"/>
      </patternFill>
    </fill>
  </fills>
  <borders count="21">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s>
  <cellStyleXfs count="2">
    <xf numFmtId="0" fontId="0" fillId="0" borderId="0"/>
    <xf numFmtId="0" fontId="27" fillId="0" borderId="0" applyNumberFormat="0" applyFill="0" applyBorder="0" applyAlignment="0" applyProtection="0"/>
  </cellStyleXfs>
  <cellXfs count="124">
    <xf numFmtId="0" fontId="0" fillId="0" borderId="0" xfId="0"/>
    <xf numFmtId="0" fontId="0" fillId="0" borderId="0" xfId="0" applyAlignment="1">
      <alignment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1" xfId="0" applyFont="1" applyBorder="1" applyAlignment="1">
      <alignment horizontal="justify" vertical="center"/>
    </xf>
    <xf numFmtId="0" fontId="2" fillId="0" borderId="2" xfId="0" applyFont="1" applyBorder="1" applyAlignment="1">
      <alignment horizontal="justify" vertical="center"/>
    </xf>
    <xf numFmtId="0" fontId="3" fillId="0" borderId="3" xfId="0" applyFont="1" applyBorder="1" applyAlignment="1">
      <alignment horizontal="justify" vertical="center"/>
    </xf>
    <xf numFmtId="0" fontId="3" fillId="0" borderId="3"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justify" vertical="center"/>
    </xf>
    <xf numFmtId="0" fontId="0" fillId="0" borderId="0" xfId="0" applyAlignment="1">
      <alignment horizontal="center" vertical="center"/>
    </xf>
    <xf numFmtId="0" fontId="4" fillId="0" borderId="0" xfId="0" applyFont="1" applyAlignment="1">
      <alignment horizontal="left" vertical="center" wrapText="1"/>
    </xf>
    <xf numFmtId="0" fontId="11" fillId="0" borderId="0" xfId="0" applyFont="1" applyAlignment="1">
      <alignment horizontal="left" vertical="center" wrapText="1"/>
    </xf>
    <xf numFmtId="0" fontId="4" fillId="0" borderId="0" xfId="0" applyFont="1" applyAlignment="1">
      <alignment horizontal="justify" vertical="center" wrapText="1"/>
    </xf>
    <xf numFmtId="0" fontId="1" fillId="0" borderId="0" xfId="0" applyFont="1"/>
    <xf numFmtId="0" fontId="4" fillId="7" borderId="0" xfId="0" applyFont="1" applyFill="1" applyAlignment="1">
      <alignment horizontal="left" vertical="center" wrapText="1"/>
    </xf>
    <xf numFmtId="0" fontId="11" fillId="7" borderId="0" xfId="0" applyFont="1" applyFill="1" applyAlignment="1">
      <alignment horizontal="left" vertical="center" wrapText="1"/>
    </xf>
    <xf numFmtId="0" fontId="1" fillId="7" borderId="0" xfId="0" applyFont="1" applyFill="1" applyAlignment="1">
      <alignment horizontal="center" vertical="center"/>
    </xf>
    <xf numFmtId="0" fontId="1" fillId="0" borderId="0" xfId="0" applyFont="1" applyAlignment="1">
      <alignment horizontal="center" vertical="center"/>
    </xf>
    <xf numFmtId="0" fontId="9" fillId="0" borderId="0" xfId="0" applyFont="1" applyAlignment="1">
      <alignment horizontal="center" vertical="center" wrapText="1"/>
    </xf>
    <xf numFmtId="0" fontId="11" fillId="8" borderId="0" xfId="0" applyFont="1" applyFill="1" applyAlignment="1">
      <alignment horizontal="justify" vertical="center" wrapText="1"/>
    </xf>
    <xf numFmtId="0" fontId="9" fillId="8" borderId="0" xfId="0" applyFont="1" applyFill="1" applyAlignment="1">
      <alignment horizontal="center" vertical="center" wrapText="1"/>
    </xf>
    <xf numFmtId="0" fontId="4" fillId="8" borderId="0" xfId="0" applyFont="1" applyFill="1" applyAlignment="1">
      <alignment horizontal="left" vertical="center" wrapText="1"/>
    </xf>
    <xf numFmtId="0" fontId="0" fillId="8" borderId="0" xfId="0" applyFill="1"/>
    <xf numFmtId="0" fontId="0" fillId="0" borderId="4" xfId="0" applyBorder="1" applyAlignment="1">
      <alignment horizontal="center" vertical="center"/>
    </xf>
    <xf numFmtId="0" fontId="0" fillId="0" borderId="5" xfId="0" applyBorder="1" applyAlignment="1">
      <alignment horizontal="center" vertical="center"/>
    </xf>
    <xf numFmtId="0" fontId="8" fillId="0" borderId="6" xfId="0" applyFont="1" applyBorder="1" applyAlignment="1">
      <alignment horizontal="center" vertical="center"/>
    </xf>
    <xf numFmtId="0" fontId="7" fillId="2" borderId="7" xfId="0" applyFont="1" applyFill="1" applyBorder="1" applyAlignment="1">
      <alignment horizontal="center" vertical="center" wrapText="1"/>
    </xf>
    <xf numFmtId="0" fontId="7" fillId="2" borderId="7" xfId="0" applyFont="1" applyFill="1" applyBorder="1" applyAlignment="1">
      <alignment horizontal="center" vertical="center"/>
    </xf>
    <xf numFmtId="0" fontId="6" fillId="4" borderId="7"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xf>
    <xf numFmtId="0" fontId="5" fillId="10" borderId="4" xfId="0" applyFont="1" applyFill="1" applyBorder="1" applyAlignment="1">
      <alignment horizontal="center" vertical="center" wrapText="1"/>
    </xf>
    <xf numFmtId="0" fontId="0" fillId="6" borderId="0" xfId="0" applyFill="1"/>
    <xf numFmtId="0" fontId="5" fillId="10" borderId="4" xfId="0" applyFont="1" applyFill="1" applyBorder="1" applyAlignment="1">
      <alignment horizontal="center" vertical="center"/>
    </xf>
    <xf numFmtId="0" fontId="0" fillId="0" borderId="13" xfId="0" applyBorder="1" applyAlignment="1">
      <alignment vertical="center" wrapText="1"/>
    </xf>
    <xf numFmtId="0" fontId="5" fillId="0" borderId="13" xfId="0" applyFont="1" applyBorder="1" applyAlignment="1">
      <alignment vertical="center" wrapText="1"/>
    </xf>
    <xf numFmtId="0" fontId="5" fillId="3" borderId="13" xfId="0" applyFont="1" applyFill="1" applyBorder="1" applyAlignment="1">
      <alignment vertical="center"/>
    </xf>
    <xf numFmtId="0" fontId="20" fillId="3" borderId="13" xfId="0" applyFont="1" applyFill="1" applyBorder="1" applyAlignment="1">
      <alignment vertical="center"/>
    </xf>
    <xf numFmtId="0" fontId="5" fillId="6" borderId="13" xfId="0" applyFont="1" applyFill="1" applyBorder="1" applyAlignment="1">
      <alignment vertical="center"/>
    </xf>
    <xf numFmtId="0" fontId="5" fillId="3" borderId="11" xfId="0" applyFont="1" applyFill="1" applyBorder="1" applyAlignment="1">
      <alignment horizontal="center" vertical="center" wrapText="1"/>
    </xf>
    <xf numFmtId="0" fontId="0" fillId="3" borderId="12" xfId="0"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11" xfId="0" applyFont="1" applyFill="1" applyBorder="1" applyAlignment="1">
      <alignment horizontal="center" vertical="center"/>
    </xf>
    <xf numFmtId="0" fontId="5" fillId="11" borderId="11" xfId="0" applyFont="1" applyFill="1" applyBorder="1" applyAlignment="1">
      <alignment horizontal="center" vertical="center" wrapText="1"/>
    </xf>
    <xf numFmtId="0" fontId="5" fillId="11" borderId="11" xfId="0" applyFont="1" applyFill="1" applyBorder="1" applyAlignment="1">
      <alignment horizontal="center" vertical="center"/>
    </xf>
    <xf numFmtId="0" fontId="5" fillId="3" borderId="11" xfId="0" applyFont="1" applyFill="1" applyBorder="1" applyAlignment="1">
      <alignment horizontal="center" vertical="center"/>
    </xf>
    <xf numFmtId="0" fontId="5" fillId="5" borderId="11" xfId="0" applyFont="1" applyFill="1" applyBorder="1" applyAlignment="1">
      <alignment horizontal="center" vertical="center" wrapText="1"/>
    </xf>
    <xf numFmtId="0" fontId="5" fillId="5" borderId="11" xfId="0" applyFont="1" applyFill="1" applyBorder="1" applyAlignment="1">
      <alignment horizontal="center" vertical="center"/>
    </xf>
    <xf numFmtId="0" fontId="5" fillId="12" borderId="11" xfId="0" applyFont="1" applyFill="1" applyBorder="1" applyAlignment="1">
      <alignment horizontal="center" vertical="center" wrapText="1"/>
    </xf>
    <xf numFmtId="0" fontId="5" fillId="12" borderId="11" xfId="0" applyFont="1" applyFill="1" applyBorder="1" applyAlignment="1">
      <alignment horizontal="center" vertical="center"/>
    </xf>
    <xf numFmtId="0" fontId="17" fillId="3" borderId="12" xfId="0" applyFont="1" applyFill="1" applyBorder="1" applyAlignment="1">
      <alignment horizontal="center" vertical="center"/>
    </xf>
    <xf numFmtId="0" fontId="0" fillId="6" borderId="12" xfId="0" applyFill="1" applyBorder="1" applyAlignment="1">
      <alignment horizontal="center" vertical="center" wrapText="1"/>
    </xf>
    <xf numFmtId="0" fontId="17" fillId="6" borderId="12" xfId="0" applyFont="1" applyFill="1" applyBorder="1" applyAlignment="1">
      <alignment horizontal="center" vertical="center"/>
    </xf>
    <xf numFmtId="0" fontId="0" fillId="3" borderId="13" xfId="0" applyFill="1" applyBorder="1" applyAlignment="1">
      <alignment vertical="center" wrapText="1"/>
    </xf>
    <xf numFmtId="0" fontId="5" fillId="6" borderId="13" xfId="0" applyFont="1" applyFill="1" applyBorder="1" applyAlignment="1">
      <alignment vertical="center" wrapText="1"/>
    </xf>
    <xf numFmtId="0" fontId="17" fillId="3" borderId="13" xfId="0" applyFont="1" applyFill="1" applyBorder="1" applyAlignment="1">
      <alignment vertical="center" wrapText="1"/>
    </xf>
    <xf numFmtId="0" fontId="19" fillId="3" borderId="13" xfId="0" applyFont="1" applyFill="1" applyBorder="1" applyAlignment="1">
      <alignment vertical="center"/>
    </xf>
    <xf numFmtId="0" fontId="5" fillId="3" borderId="13" xfId="0" applyFont="1" applyFill="1" applyBorder="1" applyAlignment="1">
      <alignment vertical="center" wrapText="1"/>
    </xf>
    <xf numFmtId="0" fontId="21" fillId="3" borderId="13" xfId="0" applyFont="1" applyFill="1" applyBorder="1" applyAlignment="1">
      <alignment vertical="center"/>
    </xf>
    <xf numFmtId="0" fontId="5" fillId="3" borderId="0" xfId="0" applyFont="1" applyFill="1" applyAlignment="1">
      <alignment horizontal="center" vertical="center"/>
    </xf>
    <xf numFmtId="0" fontId="8" fillId="0" borderId="0" xfId="0" applyFont="1" applyAlignment="1">
      <alignment horizontal="center" vertical="center"/>
    </xf>
    <xf numFmtId="0" fontId="25" fillId="13" borderId="9" xfId="0" applyFont="1" applyFill="1" applyBorder="1" applyAlignment="1">
      <alignment horizontal="center" vertical="center"/>
    </xf>
    <xf numFmtId="0" fontId="7" fillId="13" borderId="5" xfId="0" applyFont="1" applyFill="1" applyBorder="1" applyAlignment="1">
      <alignment horizontal="center" vertical="center"/>
    </xf>
    <xf numFmtId="0" fontId="25" fillId="13" borderId="5" xfId="0" applyFont="1" applyFill="1" applyBorder="1" applyAlignment="1">
      <alignment horizontal="center" vertical="center"/>
    </xf>
    <xf numFmtId="0" fontId="26" fillId="13" borderId="0" xfId="0" applyFont="1" applyFill="1" applyAlignment="1">
      <alignment horizontal="center" vertical="center"/>
    </xf>
    <xf numFmtId="0" fontId="0" fillId="0" borderId="0" xfId="0" applyAlignment="1" applyProtection="1">
      <alignment horizontal="center" vertical="center"/>
      <protection locked="0"/>
    </xf>
    <xf numFmtId="0" fontId="25" fillId="13" borderId="0" xfId="0" applyFont="1" applyFill="1"/>
    <xf numFmtId="0" fontId="0" fillId="0" borderId="0" xfId="0" applyAlignment="1">
      <alignment horizontal="center" vertical="center" wrapText="1"/>
    </xf>
    <xf numFmtId="0" fontId="6" fillId="4" borderId="20" xfId="0" applyFont="1" applyFill="1" applyBorder="1" applyAlignment="1">
      <alignment horizontal="center" vertical="center" wrapText="1"/>
    </xf>
    <xf numFmtId="0" fontId="25" fillId="13" borderId="0" xfId="0" applyFont="1" applyFill="1" applyAlignment="1" applyProtection="1">
      <alignment horizontal="center" vertical="center"/>
      <protection locked="0"/>
    </xf>
    <xf numFmtId="0" fontId="26" fillId="13" borderId="13" xfId="0" applyFont="1" applyFill="1" applyBorder="1" applyAlignment="1">
      <alignment horizontal="center" vertical="center"/>
    </xf>
    <xf numFmtId="0" fontId="1" fillId="5" borderId="15" xfId="0" applyFont="1" applyFill="1" applyBorder="1" applyAlignment="1" applyProtection="1">
      <alignment horizontal="center" vertical="center" wrapText="1"/>
      <protection locked="0"/>
    </xf>
    <xf numFmtId="0" fontId="0" fillId="5" borderId="15" xfId="0" applyFill="1" applyBorder="1" applyAlignment="1" applyProtection="1">
      <alignment horizontal="center" vertical="center" wrapText="1"/>
      <protection locked="0"/>
    </xf>
    <xf numFmtId="0" fontId="26" fillId="13" borderId="4" xfId="0" applyFont="1" applyFill="1" applyBorder="1" applyAlignment="1">
      <alignment horizontal="center" vertical="center" wrapText="1"/>
    </xf>
    <xf numFmtId="0" fontId="24" fillId="7" borderId="7" xfId="0" applyFont="1" applyFill="1" applyBorder="1" applyAlignment="1">
      <alignment horizontal="left" vertical="center" wrapText="1"/>
    </xf>
    <xf numFmtId="0" fontId="18" fillId="7" borderId="0" xfId="0" applyFont="1" applyFill="1" applyAlignment="1">
      <alignment horizontal="left" wrapText="1"/>
    </xf>
    <xf numFmtId="0" fontId="5" fillId="0" borderId="14" xfId="0" applyFont="1" applyBorder="1" applyAlignment="1">
      <alignment horizontal="center" vertical="center" wrapText="1"/>
    </xf>
    <xf numFmtId="0" fontId="5" fillId="0" borderId="13" xfId="0" applyFont="1" applyBorder="1" applyAlignment="1" applyProtection="1">
      <alignment horizontal="center" vertical="center" wrapText="1"/>
      <protection locked="0"/>
    </xf>
    <xf numFmtId="0" fontId="26" fillId="2" borderId="7" xfId="0" applyFont="1" applyFill="1" applyBorder="1" applyAlignment="1">
      <alignment horizontal="center" vertical="center"/>
    </xf>
    <xf numFmtId="0" fontId="26" fillId="13" borderId="5" xfId="0" applyFont="1" applyFill="1" applyBorder="1" applyAlignment="1" applyProtection="1">
      <alignment horizontal="center" vertical="center" wrapText="1"/>
      <protection locked="0"/>
    </xf>
    <xf numFmtId="0" fontId="25" fillId="0" borderId="14" xfId="0" applyFont="1" applyBorder="1" applyAlignment="1">
      <alignment horizontal="center" vertical="center" wrapText="1"/>
    </xf>
    <xf numFmtId="0" fontId="0" fillId="0" borderId="13" xfId="0" applyBorder="1" applyAlignment="1" applyProtection="1">
      <alignment horizontal="center" vertical="center" wrapText="1"/>
      <protection locked="0"/>
    </xf>
    <xf numFmtId="0" fontId="0" fillId="6" borderId="13" xfId="0" applyFill="1" applyBorder="1" applyAlignment="1" applyProtection="1">
      <alignment horizontal="center" vertical="center" wrapText="1"/>
      <protection locked="0"/>
    </xf>
    <xf numFmtId="22" fontId="0" fillId="0" borderId="13" xfId="0" applyNumberFormat="1" applyBorder="1" applyAlignment="1" applyProtection="1">
      <alignment horizontal="center" vertical="center" wrapText="1"/>
      <protection locked="0"/>
    </xf>
    <xf numFmtId="0" fontId="0" fillId="6" borderId="15" xfId="0" applyFill="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16" xfId="0" applyFont="1" applyBorder="1" applyAlignment="1">
      <alignment horizontal="center" vertical="center" wrapText="1"/>
    </xf>
    <xf numFmtId="0" fontId="18" fillId="0" borderId="17" xfId="0" applyFont="1" applyBorder="1" applyAlignment="1" applyProtection="1">
      <alignment horizontal="center" vertical="center" wrapText="1"/>
      <protection locked="0"/>
    </xf>
    <xf numFmtId="0" fontId="18"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15" fillId="9" borderId="18" xfId="0" applyFont="1" applyFill="1" applyBorder="1" applyAlignment="1">
      <alignment horizontal="center" vertical="center" wrapText="1"/>
    </xf>
    <xf numFmtId="0" fontId="0" fillId="14" borderId="14" xfId="0" applyFill="1" applyBorder="1" applyAlignment="1">
      <alignment horizontal="center" vertical="center" wrapText="1"/>
    </xf>
    <xf numFmtId="0" fontId="18" fillId="6" borderId="18" xfId="0" applyFont="1" applyFill="1" applyBorder="1" applyAlignment="1">
      <alignment horizontal="center" vertical="center" wrapText="1"/>
    </xf>
    <xf numFmtId="0" fontId="18" fillId="6" borderId="13" xfId="0" applyFont="1" applyFill="1" applyBorder="1" applyAlignment="1">
      <alignment horizontal="center" vertical="center" wrapText="1"/>
    </xf>
    <xf numFmtId="0" fontId="16" fillId="6" borderId="14" xfId="0" applyFont="1" applyFill="1" applyBorder="1" applyAlignment="1">
      <alignment horizontal="center" vertical="center" wrapText="1"/>
    </xf>
    <xf numFmtId="0" fontId="0" fillId="0" borderId="13" xfId="0" applyBorder="1" applyAlignment="1">
      <alignment horizontal="center" vertical="center" wrapText="1"/>
    </xf>
    <xf numFmtId="0" fontId="26" fillId="13" borderId="5" xfId="0" applyFont="1" applyFill="1" applyBorder="1" applyAlignment="1" applyProtection="1">
      <alignment horizontal="center" vertical="center"/>
      <protection locked="0"/>
    </xf>
    <xf numFmtId="0" fontId="26" fillId="13" borderId="4" xfId="0" applyFont="1" applyFill="1" applyBorder="1" applyAlignment="1" applyProtection="1">
      <alignment horizontal="center" vertical="center" wrapText="1"/>
      <protection locked="0"/>
    </xf>
    <xf numFmtId="0" fontId="26" fillId="13" borderId="13" xfId="0" applyFont="1" applyFill="1" applyBorder="1" applyAlignment="1" applyProtection="1">
      <alignment horizontal="center" vertical="center"/>
      <protection locked="0"/>
    </xf>
    <xf numFmtId="0" fontId="26" fillId="13" borderId="10" xfId="0" applyFont="1" applyFill="1" applyBorder="1" applyAlignment="1" applyProtection="1">
      <alignment horizontal="center" vertical="center"/>
      <protection locked="0"/>
    </xf>
    <xf numFmtId="0" fontId="0" fillId="6" borderId="0" xfId="0" applyFill="1" applyAlignment="1" applyProtection="1">
      <alignment horizontal="center" vertical="center" wrapText="1"/>
      <protection locked="0"/>
    </xf>
    <xf numFmtId="0" fontId="0" fillId="6" borderId="0" xfId="0" applyFill="1" applyAlignment="1">
      <alignment horizontal="center" vertical="center" wrapText="1"/>
    </xf>
    <xf numFmtId="0" fontId="0" fillId="5" borderId="13" xfId="0" applyFill="1" applyBorder="1" applyAlignment="1" applyProtection="1">
      <alignment horizontal="center" vertical="center" wrapText="1"/>
      <protection locked="0"/>
    </xf>
    <xf numFmtId="22" fontId="0" fillId="5" borderId="13" xfId="0" applyNumberFormat="1" applyFill="1" applyBorder="1" applyAlignment="1">
      <alignment horizontal="center" vertical="center" wrapText="1"/>
    </xf>
    <xf numFmtId="0" fontId="0" fillId="0" borderId="0" xfId="0" applyAlignment="1">
      <alignment horizontal="left" wrapText="1"/>
    </xf>
    <xf numFmtId="0" fontId="0" fillId="5" borderId="14" xfId="0" applyFill="1" applyBorder="1" applyAlignment="1">
      <alignment horizontal="center" vertical="center" wrapText="1"/>
    </xf>
    <xf numFmtId="0" fontId="10" fillId="6" borderId="14" xfId="0" applyFont="1" applyFill="1" applyBorder="1" applyAlignment="1">
      <alignment horizontal="center" vertical="center" wrapText="1"/>
    </xf>
    <xf numFmtId="0" fontId="10" fillId="5" borderId="14" xfId="0" applyFont="1" applyFill="1" applyBorder="1" applyAlignment="1">
      <alignment horizontal="center" vertical="center" wrapText="1"/>
    </xf>
    <xf numFmtId="22" fontId="0" fillId="6" borderId="13" xfId="0" applyNumberFormat="1" applyFill="1" applyBorder="1" applyAlignment="1">
      <alignment horizontal="center" vertical="center" wrapText="1"/>
    </xf>
    <xf numFmtId="22" fontId="0" fillId="0" borderId="13" xfId="0" applyNumberFormat="1" applyBorder="1" applyAlignment="1">
      <alignment horizontal="center" vertical="center" wrapText="1"/>
    </xf>
    <xf numFmtId="22" fontId="0" fillId="5" borderId="13" xfId="0" applyNumberFormat="1" applyFill="1" applyBorder="1" applyAlignment="1" applyProtection="1">
      <alignment horizontal="center" vertical="center"/>
      <protection locked="0"/>
    </xf>
    <xf numFmtId="0" fontId="0" fillId="6" borderId="19" xfId="0" applyFill="1" applyBorder="1" applyAlignment="1" applyProtection="1">
      <alignment horizontal="center" vertical="center" wrapText="1"/>
      <protection locked="0"/>
    </xf>
    <xf numFmtId="0" fontId="23" fillId="0" borderId="13" xfId="0" applyFont="1" applyBorder="1" applyAlignment="1" applyProtection="1">
      <alignment horizontal="center" vertical="center" wrapText="1"/>
      <protection locked="0"/>
    </xf>
    <xf numFmtId="0" fontId="0" fillId="0" borderId="0" xfId="0" applyAlignment="1">
      <alignment horizontal="center"/>
    </xf>
    <xf numFmtId="0" fontId="22" fillId="5" borderId="13" xfId="0" applyFont="1" applyFill="1" applyBorder="1" applyAlignment="1" applyProtection="1">
      <alignment horizontal="center" vertical="center" wrapText="1"/>
      <protection locked="0"/>
    </xf>
    <xf numFmtId="0" fontId="23" fillId="0" borderId="15" xfId="0" applyFont="1" applyBorder="1" applyAlignment="1" applyProtection="1">
      <alignment horizontal="center" vertical="center" wrapText="1"/>
      <protection locked="0"/>
    </xf>
    <xf numFmtId="0" fontId="0" fillId="5" borderId="14" xfId="0" applyFill="1" applyBorder="1" applyAlignment="1">
      <alignment horizontal="left" vertical="center" wrapText="1"/>
    </xf>
    <xf numFmtId="0" fontId="10" fillId="6" borderId="14" xfId="0" applyFont="1" applyFill="1" applyBorder="1" applyAlignment="1">
      <alignment horizontal="left" vertical="center" wrapText="1"/>
    </xf>
    <xf numFmtId="0" fontId="0" fillId="5" borderId="14" xfId="0" applyFill="1" applyBorder="1" applyAlignment="1">
      <alignment vertical="center" wrapText="1"/>
    </xf>
    <xf numFmtId="0" fontId="0" fillId="0" borderId="14" xfId="0" applyBorder="1" applyAlignment="1">
      <alignment horizontal="center" vertical="center" wrapText="1"/>
    </xf>
  </cellXfs>
  <cellStyles count="2">
    <cellStyle name="Hyperlink" xfId="1" xr:uid="{00000000-000B-0000-0000-000008000000}"/>
    <cellStyle name="Normal" xfId="0" builtinId="0"/>
  </cellStyles>
  <dxfs count="232">
    <dxf>
      <font>
        <color rgb="FF9C0006"/>
      </font>
      <fill>
        <patternFill>
          <bgColor rgb="FFFFC7CE"/>
        </patternFill>
      </fill>
    </dxf>
    <dxf>
      <font>
        <color rgb="FFFF0000"/>
      </font>
      <fill>
        <patternFill patternType="solid">
          <bgColor theme="8"/>
        </patternFill>
      </fill>
    </dxf>
    <dxf>
      <font>
        <color rgb="FFFF0000"/>
      </font>
      <fill>
        <patternFill patternType="solid">
          <bgColor theme="8" tint="0.399975585192419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rgb="FFFFC000"/>
        </patternFill>
      </fill>
    </dxf>
    <dxf>
      <font>
        <color rgb="FF9C0006"/>
      </font>
      <fill>
        <patternFill patternType="solid">
          <bgColor theme="9" tint="0.79998168889431442"/>
        </patternFill>
      </fill>
    </dxf>
    <dxf>
      <font>
        <color theme="0"/>
      </font>
      <fill>
        <patternFill patternType="solid">
          <bgColor theme="2" tint="-0.89999084444715716"/>
        </patternFill>
      </fill>
    </dxf>
    <dxf>
      <font>
        <color rgb="FF9C0006"/>
      </font>
      <fill>
        <patternFill patternType="solid">
          <bgColor theme="5"/>
        </patternFill>
      </fill>
    </dxf>
    <dxf>
      <font>
        <color rgb="FF9C0006"/>
      </font>
      <fill>
        <patternFill patternType="solid">
          <bgColor rgb="FFFFFF00"/>
        </patternFill>
      </fill>
    </dxf>
    <dxf>
      <font>
        <color theme="0"/>
      </font>
      <fill>
        <patternFill patternType="solid">
          <bgColor theme="2" tint="-0.89999084444715716"/>
        </patternFill>
      </fill>
    </dxf>
    <dxf>
      <font>
        <b/>
        <i val="0"/>
        <color rgb="FFFF0000"/>
      </font>
      <fill>
        <patternFill patternType="solid">
          <bgColor theme="8" tint="-0.249977111117893"/>
        </patternFill>
      </fill>
    </dxf>
    <dxf>
      <font>
        <color rgb="FFFF0000"/>
      </font>
      <fill>
        <patternFill patternType="solid">
          <bgColor theme="8" tint="0.39997558519241921"/>
        </patternFill>
      </fill>
    </dxf>
    <dxf>
      <font>
        <color rgb="FF9C0006"/>
      </font>
      <fill>
        <patternFill patternType="solid">
          <bgColor theme="8" tint="0.39997558519241921"/>
        </patternFill>
      </fill>
    </dxf>
    <dxf>
      <font>
        <color rgb="FF9C0006"/>
      </font>
      <fill>
        <patternFill patternType="solid">
          <bgColor theme="8" tint="0.39997558519241921"/>
        </patternFill>
      </fill>
    </dxf>
    <dxf>
      <font>
        <color rgb="FF9C0006"/>
      </font>
      <fill>
        <patternFill>
          <bgColor rgb="FFFFC7CE"/>
        </patternFill>
      </fill>
    </dxf>
    <dxf>
      <font>
        <color rgb="FFFF0000"/>
      </font>
      <fill>
        <patternFill patternType="solid">
          <bgColor theme="8" tint="-0.249977111117893"/>
        </patternFill>
      </fill>
    </dxf>
    <dxf>
      <font>
        <color rgb="FF9C0006"/>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249977111117893"/>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9C0006"/>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59999389629810485"/>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59999389629810485"/>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FF0000"/>
      </font>
      <fill>
        <patternFill patternType="solid">
          <bgColor theme="8" tint="0.39997558519241921"/>
        </patternFill>
      </fill>
    </dxf>
    <dxf>
      <font>
        <color rgb="FF9C0006"/>
      </font>
      <fill>
        <patternFill>
          <bgColor rgb="FFFFC7CE"/>
        </patternFill>
      </fill>
    </dxf>
    <dxf>
      <font>
        <color rgb="FFFF0000"/>
      </font>
      <fill>
        <patternFill patternType="solid">
          <bgColor theme="8" tint="0.39997558519241921"/>
        </patternFill>
      </fill>
    </dxf>
    <dxf>
      <font>
        <color theme="0"/>
      </font>
      <fill>
        <patternFill patternType="solid">
          <bgColor rgb="FFFFC000"/>
        </patternFill>
      </fill>
    </dxf>
    <dxf>
      <font>
        <color rgb="FFFF0000"/>
      </font>
      <fill>
        <patternFill patternType="solid">
          <bgColor theme="8" tint="0.59999389629810485"/>
        </patternFill>
      </fill>
    </dxf>
    <dxf>
      <font>
        <color rgb="FF9C0006"/>
      </font>
      <fill>
        <patternFill>
          <bgColor rgb="FFFFC7CE"/>
        </patternFill>
      </fill>
    </dxf>
    <dxf>
      <font>
        <color rgb="FF9C0006"/>
      </font>
      <fill>
        <patternFill patternType="solid">
          <bgColor theme="5"/>
        </patternFill>
      </fill>
    </dxf>
    <dxf>
      <font>
        <color rgb="FF9C0006"/>
      </font>
      <fill>
        <patternFill patternType="solid">
          <bgColor rgb="FFFFFF00"/>
        </patternFill>
      </fill>
    </dxf>
    <dxf>
      <font>
        <color rgb="FF9C0006"/>
      </font>
      <fill>
        <patternFill>
          <bgColor rgb="FFFFC7CE"/>
        </patternFill>
      </fill>
    </dxf>
    <dxf>
      <fill>
        <patternFill patternType="solid">
          <fgColor indexed="64"/>
          <bgColor theme="0"/>
        </patternFill>
      </fill>
      <alignment horizontal="center" vertical="center" textRotation="0" wrapText="1" indent="0" justifyLastLine="0" shrinkToFit="0" readingOrder="0"/>
      <protection locked="1"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8"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solid">
          <fgColor indexed="64"/>
          <bgColor theme="8" tint="0.79998168889431442"/>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1" hidden="0"/>
    </dxf>
    <dxf>
      <numFmt numFmtId="0" formatCode="General"/>
      <fill>
        <patternFill patternType="none"/>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numFmt numFmtId="0" formatCode="General"/>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0" formatCode="General"/>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27" formatCode="dd/mm/yyyy\ hh:mm"/>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color rgb="FF000000"/>
      </font>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border>
      <protection locked="0" hidden="0"/>
    </dxf>
    <dxf>
      <numFmt numFmtId="0" formatCode="General"/>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1" hidden="0"/>
    </dxf>
    <dxf>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1" hidden="0"/>
    </dxf>
    <dxf>
      <font>
        <sz val="10"/>
      </font>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color rgb="FF000000"/>
      </font>
      <fill>
        <patternFill patternType="none"/>
      </fill>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protection locked="0" hidden="0"/>
    </dxf>
    <dxf>
      <border>
        <top style="thin">
          <color rgb="FF000000"/>
        </top>
      </border>
    </dxf>
    <dxf>
      <border>
        <left style="thin">
          <color rgb="FF000000"/>
        </left>
        <right style="thin">
          <color rgb="FF000000"/>
        </right>
        <top style="thin">
          <color rgb="FF000000"/>
        </top>
        <bottom style="thin">
          <color rgb="FF000000"/>
        </bottom>
      </border>
    </dxf>
    <dxf>
      <fill>
        <patternFill patternType="solid">
          <fgColor indexed="64"/>
          <bgColor theme="0"/>
        </patternFill>
      </fill>
      <alignment horizontal="center" vertical="center" textRotation="0" wrapText="1" indent="0" justifyLastLine="0" shrinkToFit="0" readingOrder="0"/>
    </dxf>
    <dxf>
      <border>
        <bottom style="thin">
          <color rgb="FF000000"/>
        </bottom>
      </border>
    </dxf>
    <dxf>
      <fill>
        <patternFill patternType="solid">
          <fgColor indexed="64"/>
          <bgColor theme="0"/>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protection locked="1" hidden="0"/>
    </dxf>
    <dxf>
      <font>
        <b val="0"/>
        <i val="0"/>
        <strike val="0"/>
        <condense val="0"/>
        <extend val="0"/>
        <outline val="0"/>
        <shadow val="0"/>
        <u val="none"/>
        <vertAlign val="baseline"/>
        <sz val="10"/>
        <color theme="1"/>
        <name val="Aptos Narrow"/>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indexed="64"/>
          <bgColor theme="5"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0"/>
        <color theme="1"/>
        <name val="Aptos Narrow"/>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fill>
        <patternFill patternType="solid">
          <fgColor theme="4" tint="0.79998168889431442"/>
          <bgColor theme="4" tint="0.79998168889431442"/>
        </patternFill>
      </fill>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Aptos"/>
        <family val="2"/>
        <scheme val="none"/>
      </font>
      <fill>
        <patternFill patternType="solid">
          <fgColor indexed="64"/>
          <bgColor rgb="FFD0DBF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auto="1"/>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thin">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auto="1"/>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1"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auto="1"/>
        <name val="Aptos"/>
        <family val="2"/>
        <scheme val="none"/>
      </font>
      <alignment horizontal="justify" vertical="center" textRotation="0" wrapText="1" indent="0" justifyLastLine="0" shrinkToFit="0" readingOrder="0"/>
      <border diagonalUp="0" diagonalDown="0">
        <left style="thin">
          <color rgb="FF000000"/>
        </left>
        <right style="thin">
          <color rgb="FF000000"/>
        </right>
        <top style="thin">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auto="1"/>
        <name val="Aptos"/>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1"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border diagonalUp="0" diagonalDown="0">
        <left style="thin">
          <color rgb="FF000000"/>
        </left>
        <right style="thin">
          <color rgb="FF000000"/>
        </right>
        <top style="medium">
          <color rgb="FF000000"/>
        </top>
        <bottom style="medium">
          <color rgb="FF000000"/>
        </bottom>
        <vertical/>
        <horizontal/>
      </border>
    </dxf>
    <dxf>
      <border outline="0">
        <bottom style="thin">
          <color rgb="FF000000"/>
        </bottom>
      </border>
    </dxf>
    <dxf>
      <font>
        <b val="0"/>
        <i val="0"/>
        <strike val="0"/>
        <condense val="0"/>
        <extend val="0"/>
        <outline val="0"/>
        <shadow val="0"/>
        <u val="none"/>
        <vertAlign val="baseline"/>
        <sz val="11"/>
        <color rgb="FF000000"/>
        <name val="Aptos"/>
        <family val="2"/>
        <scheme val="none"/>
      </font>
      <alignment horizontal="justify"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965F14CE-1F39-4773-ABFF-8236E9E94BBA}">
    <nsvFilter filterId="{FCE89301-09C4-4827-B631-CA7C20D7001E}" ref="A1:AM2" tableId="25"/>
  </namedSheetView>
  <namedSheetView name="Ver2" id="{BA2C1F35-EA4B-4C5D-80E7-E0FF9B7E6590}">
    <nsvFilter filterId="{FCE89301-09C4-4827-B631-CA7C20D7001E}" ref="A1:AM2" tableId="25"/>
  </namedSheetView>
  <namedSheetView name="Vista 1" id="{CDC3A4BB-6EC3-41D3-A5BC-E3217F50B7B0}">
    <nsvFilter filterId="{FCE89301-09C4-4827-B631-CA7C20D7001E}" ref="A1:AM2" tableId="25"/>
  </namedSheetView>
  <namedSheetView name="Vista 2" id="{154975B1-0D7F-4BBC-84B2-BA76EE43B2E8}">
    <nsvFilter filterId="{FCE89301-09C4-4827-B631-CA7C20D7001E}" ref="A1:AM2" tableId="25">
      <columnFilter colId="14" id="{298F6C20-2588-42FF-BFF8-2FB0BC8B050A}">
        <filter colId="14">
          <x:filters>
            <mc:AlternateContent xmlns:mc="http://schemas.openxmlformats.org/markup-compatibility/2006">
              <mc:Choice Requires="x14">
                <x14:filter val="01/12/2024 6:30 am (Sandra Briceño) Se recibe caso de la compañera Geraldinne Velandia recibió la llamada en horas de la noche madrugada, se llama en tres ocasiones pero no es posible contactarla.                                                                                                                                                                                                                                          01/12/2024 1:16 pm (Sandra Briceño). Se realiza llamada para tamizaje de riesgo feminicida, la usuaria responde, pero se cae la llamada. Se intenta comunicación en tres ocasiones más pero no es posible contactarla._x000a_2-12-2024 entre 14:59 y 15:03 Lina Marcela realizó 3 intentos para tamizaje, pero la llamada se fue a buzón de voz. no cuenta con contacto de confianza._x000a_4-12-2024 entre 18:45 y 18:48 Lina Marcela 3 intentos para tamizaje, no tiene contacto seguro, se va a buzón.                                                                                      05/12/2024 1:20 PM (Sandra Briceño) Se realiza llamada para tamizaje de riesgo feminicida, la usuaria manifiesta que ya interpuso la demanda en fiscalía con noticia criminal 110016000021202413656 y puso una caución en la casona de ciudad bolívar, igualmente interpuso medida de protección ante la comisaria de familia MP  2418-2024 RUG  2684-2024, así mismo radico en la estación de policía, el cuadrante hace las rondas de seguridad y tiene el número del cuadrante, Manifiesta que no se han presentado nuevos hechos de violencia. La señora manifiesta que tiene cita en la comisaria el día 16 de diciembre a las 12:00 M para la medida de protección y definición de custodia, expresa que en la comisaria le dijeron que es su obligación confrontar al agresor dado que no tiene pruebas que la agrede y debe sostenerlo en presencia del señor, se le orienta para que bajo la ley 1257 de 2008 articulo 8 literal K donde dice que tiene derecho a no ser confrontada con el agresor, por lo cual va a pasar un escrito solicitando no ser confrontada para la audiencia del 16 de diciembre"/>
                <x14:filter val="02/12/2024, 1230 Luis Mancera  : se recibe transferencia de caso para realizar tamizaje de riesgo a la señora Ingrid Gissette Mendez Vargas debido a que se cae llamada, se realizar re contaste al numero 3194575432, pero la llamada es direccionada al buzón de voz_x000a_2-12-2024 entre 19:13 y 19:17 Lina Marcela 4 intentos para tamizaje, incluyendo al contacto seguro pero se va a buzón._x000a_4-12-24 17:45 Lina Marcela recontacta. En tamizaje la sobreviviente refirió: ex pareja con quien tienen un hijo en común , en mayo del 2024 (no tiene datos exactos) denunció en FGN y de allí refiere que tiene citación el 28-1-25 por las agresiones verbales refiere que tiene # de peticipon de la FGN 6068236242. Informó que también tiene proceso con ICBF por alimentos y que las visitas las ha inclumplido, no están mediadas por un tercero y además en las visitas que hace son el escenario de nuevas violencias. _x000a_RUTA indicada:_x000a_1._x0009_Comisaria, solicitar MP y no ser confrontada_x000a_2._x0009_ICBF solicitar que las visitas de la niña sean reguladas por una tercera persona, se le indicó que también debe poner el aviso de que no están siendo cumplidas para  que ello le permita trazabilidad de su proceso._x000a_Señala que realizará estas diligencias el 9-12-24 y solicita seguimiento el 10-12-24 entre 8:00 10:00 hrs"/>
                <x14:filter val="03/12/2024 15:50 Lina Marcela, Gun transfiere. En tamizaje la sobreviviente refirió:  su expareja esta con casa por cárcel por estupefacientes, en la actualidad no conviven, pero el intenta acercarse ella a través de los hijos que son en común con el. Recientemente el se presentó y hizo los daños en el lugar de trabajo de ella, y ella solicitó asistencia en 123, cuando llegaron el agresor ya se había ido. La sobreviviente denunció la VBG en FGN: 544986001132202410060 municipio 498 Ocaña  FGN #60 fecha 19-1-24.  Allí le dieron MP permanente con fecha 12-2-2024, con acta AE-2024 005081 DENOR, CFO-110-117-2024-232 por VIF. Ella ya radicó esta MP pero el sujeto la ha incumplido mediante el teléfono y mediante la visita y destrucción de su lugar de trabajo. Refiere que respecto a los hijos no tiene ningún acuerdo legal u oficial._x000a_RUTA indicada:_x000a_1._x0009_Comisaria de familia: por incumplido de MP, solicitar que las visitas sean mediadas a través de un tercero, no ser confrontada, solicitar revisión de MP.}_x000a_Ella indicó que irá a comisaria el 4-12-24, solicitó seguimiento 4-12-24 después de las 15:00_x000a_"/>
                <x14:filter val="05/11/2024  9:30 am, se comunican las personas de la policía de la línea con el 123, desde donde se despliega un cuadrante que reporta estar en terreno pero no poder encontrar la casa, porque supuestamente, no se discrimina cual es la casa especifica,  la cual, se reportó como carrera 8a este n 30- 25 sur, barrio Santa Inés, de la localidad de San Cristóbal. A la 1:40pm. Se realiza un llamado de seguimiento por parte de la compañera Jessica Niño,  donde la mujer le refiere que viajará a otra ciudad y que la llamé más tarde, lo cual, genera sospecha porque con antelación la mujer refirió que no tenía dinero y que no tenía redes de apoyo.  Se da la siguiente  referencia:  La amiga Nicol Morales celular 3214948413. 11-6-24, Debido al presunto nivel de riesgo, se ha intentado contactar a la persona de confianza referida,  sin embargo timbra y no  contesta.  (HOY) _x000a__x000a_ 09/11/2024 15:40 (Jeimy Antonio, la señora refiere que anoche la llamaron y pidió que le devolvieran la llamada el día de hoy a las 07:00 pm_x000a_09/11/2024 20:30(Jeimy Antonio) No contesta llamada _x000a_11-11 Lina Marcela: Devolución de llamada para tamizaje del equipo de riesgo, pero la llamada se fue a buzón de voz._x0009_se contacta igual con contacto de emergencia y la situación es la misma."/>
                <x14:filter val="06/11/2024 9:15 am XImena Suárez para realziación de tamizaje y no contestó las dos llamadas realziadas,_x000a_El caso entró a seguimiento sin tamizaje._x000a_11-11  Lina MArcela: Devolución de llamada para tamizaje del equipo de riesgo, pero la llamada se fue a buzón de voz._x000a_no cuenta con contacto seguro._x000a_14-11 Lina MArcela: Devolución de llamada para tamizaje del equipo de riesgo, pero la llamada se fue a buzón de voz._x000a_no cuenta con contacto seguro.  _x000a_15/11/2024 8:10 AM Se realizan 2 llamados, pero no se contesta (Ximena)_x000a_25-11-2024, 9:32 Lina MArcela  Devolución de llamada para tamizaje del equipo de riesgo, pero la llamada se fue a buzón de voz._x000a_no cuenta con contacto seguro._x000a_29-11-2024 7: 38 y 7:42 Lina MArcela: 3 intentos para tamizaje del equipo de riesgo, pero la llamada se fue a buzón de voz._x000a_no cuenta con contacto seguro.                                                                                                                                                                                                                                                                                              05/12/2024 8:30pm (Christian Aguilar)   se realizo el contacto con la victima ANGIE CATHERINE RODRRIGUEZ SAAVEDRA al numero  3103086406, se realizaron tres llamadas pero no contesta y remite a buzón de voz."/>
                <x14:filter val="09/11/2024 6pm (Chrsitian Aguilar) Sandra Patricia Justinico Bonilla cc 52537980 deben comunicarse su número de red de apoyo se encuentra en hospital por lo hechos en UCI , causa del hecho de VBG por parte de su pareja. esta sin Tamizaje por esta misma razón. dado que su condición física y mental es muy delicada. la denuncia ante la autoridad competente y que tienen fecha de audiencia el día 21 de noviembre, según informa en la comisaria de Kennedy 2. _x000a_10/11/2024 7:19 pm  (Sandra Briceño) Se realizan dos llamadas para tamizaje de riesgo feminicida. Usuaria no responde._x000a_11-11 Lina Marcela,  se contacta a la red de apoyo y sobreviviente pero no responden._x000a__x000a_14-11 Lina Marcela: Contacta la sobreviviente: no se realizó tamizaje por indicación directa de Milena por riesgo evidente. Refirió el hecho violento se presentó el 5-11-2024 (aprox, la mujer tiene confusión)  le dieron de alta el  10-11-2024, denunció a la comisaria de familia 2 de kennedy allí  le dieron medida de protección provisional #7312024 contra su pareja Jeison Andres Garzon Maluche por VIF,  tienen citación audiencia 20-11-2024 a las 7:30 am, la comisaria ayer le informó que no sería confrontada, sin embargo la Sra Sandra informó que quería ir pero solicitó protección,Se le informó que ella no debe ser confrontada si así lo prefiere y se le informó que en ese caso debería radicar un oficio a la comidaría para solicitarlo de manera explícita.  La medida la radicó en CAI kenedy con ello tuvo acompañamiento para salir de la casa (actualmente se encuentra donde la hermana) y con esa medida ya tuvo cita en INMLCF. Estuvo hospitalizada en ESE Kennedy  en donde le dieron medicamento retrovirales por abuso sexual, le dieron remisión a psiquiatria.   ella se programó hoy en la tarde para llamar a solicitar cita de psiquiatria (refirió  pesadillas se le orientó sobre la pertinencia de solicitar la cita). Solicitó seguimiento cualquier día despues de las 4:30 pm. no se le indicó la posibilidad de la linea 106 debido a que al momento de la llamada no se contaba con la confirmación de poder remitir a esas lineas. se puede retomar en el seguimiento, de acuerdo a la asignacion o no de la cita de psiquiatria.                                                                                                                                                                                                                    14/11/2024, siendo las 16:35 se realiza llamada al número 3223356929 logrando contacto con Deisy Natalia Suarez basto, hija de la señora Sandra Patricia Justinico, realizando presentación de la Línea 155 y el motivo de la llamada. Se indaga por el estado de la señora Sandra y del seguimiento institucional y se le pide que le informe que se le estará llamando para conocer su estado al igual la antencion por las diferentes entidades_x000a_14/11/2024 siendo las 17: 06 Se logra contacto con la Señora Sandra Justinico y refiere “Ella está mejor informando que se realiza contacto por el profesional Luis de la Línea Salvia en la que se realiza orientación seguimiento y montare a las violencias basadas en género, informando que el objetivo del contacto es conocer su estado y realizar algunas preguntas para obtener mayo información sobre lo hechos. Se indaga por el proceso en Fiscalía, comisara y medidas de protección que se le otorgaron las cuales desconoce e informa de audiencia programada. Se orienta en plan de seguridad informando que ante alguna situación de riesgo para su integridad puede contactarse a línea 123 para solicitar atención inmediata. Ase mismo, se pide no salir sola evitar tomar las mismas rutas. Programar atenciones de psicología y psiquiatría con su EPS. Se informa de próximos seguimientos con el fin de conocer su estado, al igual que el acompañamiento por las entidades y solicita que se comunique en la hora de la tarde. _x000a_Se logra contacto con la señora Sandra, quien refiere” Gracias por eso. El domingo Sali del hospital. URI de Kennedy para continuar con el proceso con la fiscalía y en medicina legal. El 21 noviembre tiene audiencia en comisaria de familia. En ese momento me ofrecieron un refugio y casa Kennedy Tintal peor yo estoy con mi familia porque tengo que trabajar.  Tengo cita Psicología para finales de noviembre.  Llamar después de las 4 de la tarde. Muchas gracias”_x000a__x000a__x000a_"/>
                <x14:filter val="11/11 3:08 pm (Sandra Briceño) Se realizan 3 llamadas para realizar tamizaje de riesgo pero no es posible el contacto con la victima pasa a buzón de voz. Se establece comunicación con el contacto de emergencia reportado pero informa que el día hoy no ha podido comunicarse con ella, ya que no le responde las llamadas ni los mensajes de WhatsApp._x000a_11/11 5:31 pm (Sandra Briceño) Se realizan 2 llamadas para realizar tamizaje de riesgo pero no es posible el contacto con la victima pasa a buzón de voz._x000a_12-11 Lina Marcela: contacta, el celular de la victima se va a buzón, procedo con el contacto seguro, la amiga quien refiere que el sr la amenaza de muerte, la asedia, la ha agredido sexual, fisica y psicológicamente, refiere consumo de SPA y alcohol por parte del agresor, hay 4 hijos de infancia entre los 5 y 12 años, los dos menores son hijos del agresor. Refiere que la víctima es nerviosa y se bloquea al momento de riesgo, afirma que hablaron anoche y la victima asegura que se quiere ir de donde vive. Al contacto seguro se le solicitó apoyo en el contacto con la víctima y ella asegura que le escribirá por whatsapp para decirle que sobre las 9 am de hoy debe estar pendiente del celular, hora en que se programó contacto, no fue posible debido a que la plataforma salvia no funcionó._x000a_12/11 5:41 pm (Sandra Briceño) Se realizan 2 llamadas para realizar tamizaje de riesgo pero no es posible el contacto con la victima pasa a buzón de voz._x000a_14-11 Lina Marcela: Devolución de llamada para tamizaje del equipo de riesgo, pero la llamada se fue a buzón de voz, incluido el contacto seguro. 14/11/2024 Siendo la 15 35 se realiza llamada al 3135200359 con el fin evaluar el estado de la señora Adriana Ramírez de realizar valoración de riesgo, pero la llamada es direccionada al buzo de voz _x000a_15-11 Lina Marcela Tamizaje, refirió: ex pareja ya estuvo preso por VIF contra ella y los hijos, número de esta noticia criminal: 053606099057202200336, 2 años de pena, ya está libre pero sigue la acosa y amenaza de muerte. _x000a_Ella tiene 4 hijos (13,10,6,4 años) los dos menores son hijos en comun con el agresor,  estuvieron en unión libre. Actualemente ella y sus hijos en paga diario, se fue por el motivo de que el tipo la buscaba en su casa, sabia donde vivia tambien a los hijos en el colegio._x000a_RUTA indicada:_x000a_1. Acercarse HOY mismo a comisaria a denunciar y consultar sobre: medidas de protección Y medidas de atencion._x000a_2  Pedir a Comisaria que empalme con Fiscalia el proceso._x000a_3.  Pedir en comisaria custodia temporal y allí mismo preguntar sobre la  custodia permanente y sobre cuota alimentaria. _x000a_SOLICITÖ seguimiento, 16-11 a las 8 am_x000a_"/>
                <x14:filter val="11-11 Lina Marcela, llamó pero contestó la hija, señalando que debe recontactar hoy mismoi a la 1:00 pm._x000a__x000a_La situación de VIF ya está en conocimiento de comisaria, y el hijo se esta configurando como posible agresor. tanto su pareja como el hijo manipulan armas blancas.  el ex la amenenaza actualmente no hay violencia fisica_x000a_12-11 Lina Marcela contacta, el celular esta en manos de la hija, remite el número actualizado de la mamá 3143347000, Solicita llamada  hoy mismo 1: pm por horario y lugar seguro _x000a__x000a_vivien en la misma casa, 3 hijos de ambos, tiene antecedes con comisaria, hace años,  ya ha tenido meidas de proteccion, se le indica continuar con comisaria y solicitar a dupla de genero no conforntacion con el agresor_x000a_16/11/2024 Solicita seguimiento sabado despues del medio dia."/>
                <x14:filter val="11-11 Lina Marcela, mujer de 21 años en union libre con hombre de 39 años, conhija de 2 años, violencia fisica, psicológica y patrimonial, ha dañado su celular y la ha encuellado mas los comentarios, precedentes de infidelidad en relaciones anteriores. Actualmente el no esta en la ciudad por motivos de trabajo, ello le ha dado mayor confiaza a ella para terminar la relacion de manera telefónica porque se siente mas segura, anoche lo llamo para decirle que terminaban  pero en la discusion se insultan, la echa de la casa, luego cambia de animo y pide perdon, grita, dependencia economica, ella cuenta con apoyo de su familia para regresar a su casa. Está interesada en activar ruta por comisaria para proteccion y custodia, se le da la direccion de la comisaria de santafe se le informan los horarios y ella afirma que se acercará en el transcurso de esta semana, se acordó seguimiento para el viernes 16-11 a las 7 am."/>
                <x14:filter val="1-12-24 08:40 Felipe Gómez transfirió caso a Lina Marcela. En tamizaje sobreviviente refiere: en Salvia reporta indígena ella aclara que NO pertenece a comunidad indígena. En conjunto con la hermana, la sobreviviente señaló que tienen precedente de FGN de Pereira aprox en jun 2023 y proceso asociado en comisaria de Pereira Dos Quebradas, de ese proceso FGN dio MP pero nunca fue radicado  y remisión a INMLCF, la comisaria no citó al agresor a audiencia, La sobreviviente volvió con el agresor en otro municipio y la comisaria señaló que no trasladaría el proceso, y no realizaron más seguimiento, refieren. Aseguran que las agresiones del sujeto son en contra de ambas hermanas, no solo contra la pareja. La ultima pelea fue hoy mismo, la sobreviviente pareja  logró escapar al municipio de su hermana, refiere que si bien está estable con el diagnostico (aunque refiere que no duerme bien) psiquiatrico, no está medicada por que el sujeto no la deja tomar el medicamento, se sensibiliza sobre la prioridad de la salud , por lo que se indica ruta:_x000a_1._x0009_ESE para revisar medicación de Dx psiquiatrico._x000a_2._x0009_FGN, denuncia de ambas, solicitud de MP señalar dx psiquiatrico, solicitar valoración INMLCF_x000a_Solicitan seguimiento 4-12-24 despues 5:00 pm"/>
                <x14:filter val="1-12-24 14:49 Julieth transfirió el caso, Lina Marcela. En tamizaje sobreviviente refirió: la sobreviviente tiene 1 hija en común con el agresor, la última agresión física fue el 29-11-24 y la ultima agresión sexual fue el 26-11-24. No refiere antecedentes de denuncia sobre el caso en ninguna entidad. Refiere que las agresiones se presentan cuando va a visitar a la hija. Ella menciona que su interés es alejarse. Se le indica la ruta por salud, pero ella señala que una persona de policía comunitaria le indicó que debía ser por Fiscalía, se le indicó la lógica de que las entidades deben activar de manera integral la ruta, sin embargo activarla por determinada entidad implica unas prioridades para el caso, se le indica que frente a su situación es importante priorizar por salud y comisaria, pero ella reiteró en Fiscalía. También señaló que quiere evadir el tema de violencia sexual, pese a la sensibilización que se señala respecto a la importancia de su salud._x000a_En Fiscalía ella asegura que por la policía comunitaria le dieron una supuesta cita para el 1-12-24 en horas de la mañana, se le explica que las entidades están llamadas a la activación de manera integral de la ruta, por lo que es importante que priorice sus necesidades de salud y dentro de su solicitud por comisaria, sin embargo frente a su insistencia en fiscalía se le explica el paso a seguir:_x000a_RUTA indicada:_x000a_1._x0009_Fiscalía, denuncia incluir VSBG, medida de protección, solicitar conexión con comisaria para allí solicitar no ser confrontada con el agresor y que la visitas sean mediadas por terceros. _x000a_Solicita seguimiento el 2-12-24 a las 15:00_x000a_"/>
                <x14:filter val="1-12-24 16:10 Jessika Niño referenció  el caso, Lina Marcela. En tamizaje refirió: antecedentes en 2023 desde psicorientación del IED de su hijo la remitió a comisaria por las respuestas de su hijo, no abordaron allí la VBG.  Frente al caso actual se le indicaron los horarios y días de la comisaria indicada previamente y se le indicaron direcciones y horarios de comisarias semipermanentes y permanentes, así como de la línea una llamada de vida._x000a_RUTA indicada:_x000a_1 una llamada de vida: comisaria, medidas de protección, visitas de los NNA solicitar delegar a terceros y evitar ser confrontada._x000a_Solicita seguimiento cualquier día a las 9:00_x000a_"/>
                <x14:filter val="1-12-24 16:44 Henry transfirió caso a Lina Marcela. En tamizaje sobreviviente refirió: ex pareja hace 9 años, desde entonces el pasado 29-11-24 fue la primer agresión física, refiere que el agresor la intentó ahorcar y está maltratada en la actualidad ella intentó llamar a la 123 pero no recibió respuesta. De sus 4 hijos la menor es en común con el agresor y cuando el agresor viene a visitar a su hija en casa de la sobreviviente es agresivo en su lenguaje. Refiere miedo a que tome represalias contra ella._x000a_RUTA indicada:_x000a_1._x0009_ESE para valoración médica._x000a_2._x0009_Solicitar que sea empalmado el proceso por comisaria y solicitar medidas de protección, , visitas de los NNA solicitar delegar a terceros y evitar ser confrontada._x000a_Solicita seguimiento 2-12-24 16:00"/>
                <x14:filter val="1-12-24 18:59 Henry transfirió caso a Lina Marcela. En tamizaje la sobreviviente refirió:  de los hijos reportados ninguno es en común con el agresor, al momento de la llamada ella está herida por la agresión del sujeto. Ella refirió que conoce su propia justicia y los mecanismos de apoyo, sin embargo nunca los ha activado debido a las dificultades logísticas en acceso y por lo laboral ella solicita activación por justicia ordinaria. En la actualidad conviven. Ella solicita conocer sobre las rutas, leyes y qué hacer en este caso. Se le habla sobre la ley 1257 y sobre las prioridades para activar la ruta._x000a_Ruta indicada:_x000a_1._x0009_ESE valoración medica por urgencias, y remisión para psicología._x000a_2._x0009_Solicitar empalme directo con comisaria. Solicitar medidas de protección_x000a_Afirma que hoy mismo irá al ESE para activar la ruta._x000a_Solicitó seguimiento 2-12-24 15:00"/>
                <x14:filter val="1-12-24 19:54 Luz Mary transfirió caso a Lina Marcela. En tamizaje sobreviviente refiere: 2 hijos en común con el agresor. Antecedente de denuncia o por FGN Soacha(debido a la situación con su vivienda no tiene acceso a los documentos, por lo que no puede suministrar números de proceso), la FGN le dio MP ella aseguró que ante la noticia de posible cárcel ella solicitó no continuar el proceso y fue a conciliación y regresó con el agresor. En la actualidad está herida. Precedente de intento de feminicidio_x000a_RUTA indicada:_x000a_1._x0009_123, señalar que hay niños implicados (reteidos) y asistencia de PONAL y PONAL infancia y adolescencia._x000a_2._x0009_ESE urgencias, y psicología, solicitar se empalme con comisaria pedir MP y no ser confrontada o dejar por terceros visitas a los hijos._x000a_Solicitó seguimiento  1-12-24  a las 22:00"/>
                <x14:filter val="12-11 Lina Marcela. Observacion, el número de CC de la sobreviviente es 1110495564, sin embargo en Salvia quedó 110495564. Refiere: mujer,  cuenta con denuncia en la fiscalia por VIF, hace 8 o 15 dias la interpuso, refiere que nole dieron oficio pero si cuenta con número de radicado sin embargo en el momento no lo tiene.  no refiere medidas de protección, anoche volvieron a tener una pelea ella está &quot;Maguyada&quot;, se le indica  dependencia emocional y economica, refiere que busca viajar hoy mismo para salir del contexto de violencia, se le indica la línea 122 para actualizar la denuncia y dejar trazabilidad, allí podría iniciar con valoracion de INMLCF, solicitó seguimiento para el 13-11 a las 8 am . Observacion, el número de CC de la sobreviviente es 1110495564, sin embargo en Salvia quedó 110495564"/>
                <x14:filter val="14-11 Lina Marcela: Caso pendiente de revisar por Julio y Vladimir, por que no quedó guardado en Salvia_x000a_15-11 Lina Marcela Devolución de llamada para tamizaje del equipo de riesgo, pero la llamada se fue a buzón de voz, incluido el contacto seguro._x000a_15-11-2024 14:30 Jeimy Antonio, Me comunico con la Señora Camila, menciona que actualmente está con su hermana, el señor se presentó el día de ayer a esa vivienda, rompió los vidrios, los amenazó con un arma, llamaron a laos policias al cuadrante pero cuando llegaron ya el presunto agresor se había ido, esto ocurrió a las 19:00 horas. Camila está en compañía de la hermana, sus dos cuñados y sus dos hijos quienes en este momento ya están en vacaciones. Se enruta a la Comisaría de Familia, menciona que conoce su ubicación, se explica que le asignaran medida de protección, debe acercarse a reportarla en la Estación de policia para que le realicen rondas de seguridad. Se le brindan recomendaciones, menciona que irá el día lunes a la Comisaría de Familia en compañia de su hermana. Acepta los seguimientos."/>
                <x14:filter val="14-11 Lina Marcela: hijo de 3 años en comun con el agresor, celoso , si sale la corre de lacasa, ella posee PPT 6908635, se han agredido fisicamente, el es celoso y autoritario, se le orienta sobre acercarse a comisaria de familia. No refiere red de apoyo. no ha activado ninguna ruta, posible matrimonio por superviviencia. programar seguimiento 19-11 en la mañana"/>
                <x14:filter val="15/11/2024 (Jeimy Antonio) 16:00 Se realiza marcación en dos oportunidades, no hay respuesta. _x000a_16-11 Lina Marcela: tamizaje. la sobrevieinte refirió:  hombre celoso le ha dañado su celular, aahora tiene otro, conviven y duermen juntos, violencia sexual, la última fue anoche, la amenaza con cuchillos, se siente vulnerable por el tema de vivienda (refiere que la casa es de él). _x000a_Ruta orientada: _x000a_1. hospital, ir a urgencias se le informa sobre las indicaciones para proteger la evidencia de la agresión sexual, y la informacion de kit profilactico. ella confirma que hoy sobre las 3:00 pm se dirigirá al hospital  para activar ruta._x000a_2 comisaria: se le indica que en el mismo hospital solicite que le activen la ruta con comisaria, con equipo de trabajo social. _x000a_Solicita seguimeinto del proceso HOY 5:00pm"/>
                <x14:filter val="15/11/2024: 19:00 horas (Jeimy Antonio) No se ha realizado tamizaje, la persona es remitida por la profesional Rocio Escobedo, sin embargo refiere que cuando estaba terminando la llamada, la señora le mencionó que tenía que colgar. Se debe llamar el día 15/11/2024 para intentar comunicación y realizar valoración. _x000a_15-11 Lina Marcela : Devolución de llamada para tamizaje del equipo de riesgo, pero la llamada se fue a buzón de voz. Incluyendo el contacto seguro._x000a_15-11-2024 14:10 horas (Jeimy Antonio) Me comunico al número de celular y me contesta Karen que se identifica como su hija, menciona que ella no está en este momento disponible y que se le puede ubicar de nuevo a las 17:00 pm. _x000a_Se realiza llamada, no hay respuesta 17:15_x000a_16-11 Lina Marcela : Devolución de llamada para tamizaje de riesgo, la llamada cae a buzón de voz. no hay numero de persona de confianza                           Luis Mancera 16/11/2024 a las 15:19 se realiza llamada a la señora Martha Patricia Rivero Erazo al celular 3226816164 con el fin de conocer cómo se encuentra y proceder a realizar valoración de riesgo, pero la llamada es direccionada a buzón de voz                 _x000a_18-11 a las 07:15 am  Lina Marcela llamó 2 veces, en la 2° se logró contacto con Karen hija de la sobreviviente, señaló que su madre no tiene celular, se le informó que se busca realizar seguimiento a la situación y se busca hablar directamente con la sobreviviente, por lo que la hija solicitó hoy 18-11 a las 5:00pm se le debuelva la llamada, ella se agenda para recibir la llamada en compañia de su madre en un lugar seguro.                                                                                                                                 Luis Mancera: 18/11/2024, 15: 59 Se realiza llamada a la señora Martha Patricia Rivero Erazo al celular 3226816164, con el fin con se encuentra y realizar valora de riesgo, pero llamada es direccionada a buzo de voz                                                                                                                                                                                                                              Luis Mancera: 18/11/2024, siendo las 19:07 se realiza contacto con la señora Martha Patricia Rivero Erazo, efectuando contacto al celular 3226816164, logrando contacto efectivo con la señora Martha a qui se indagada por su estado e informa “Tengo la orden de la comisaria esta todo bien y la policía le indicaron que no se acercara a la casa y él no lo ha hecho, pero la policía yo no ha pasado”. Se procede a realizar tamizaje de riesgo y la señora durante la valoración informa “Yo tengo una hija y nos íbamos a separar y el resulto pegándome en presencia de mi hija. El aquí no pagaba nada y yo le dije que no podía estar aquí por que no me estaba ayudando. El no le gustaba que le dijera nada, él quería tener el control. El como yo salía a comprar a un almacén de ropa y cuando yo salgo eran unos celos. El no me dio para para la ropa y el no me daba.  Él tomaba alcohol cada 15 O 20 días, pero poquito. Yo no tengo lo de medida de protección”. _x000a_Se indaga por el numero de medida de protección generado por comisaria con el fin de solicitar a policía el acompañamiento, pero la usuaria en el momento no cuenta con el documento y no cuenta con programación de audiencia. Se recuerda que ante alguna situación de riesgo para su integridad puede comunicarse a la línea 123 para solicitar apoyo de la policía o utilizar los teléfonos suministrados en la estación de policía. Así mismo, en caso que el señor incumpla con la orden de alejamiento, reportar este incumplimiento ante la comisaria de familia. Se informa del seguimiento periodito al cual accede. _x000a_"/>
                <x14:filter val="15-11 Lina Marcela: tamizaje. Expareja la gredió anoche, tiene heridas. No hay denuncia previa, no conviven &quot;hace como un mes&quot;, pero anoche la buscó y la agredió,  RUTA se le orienta:_x000a_ 1 salud y en la misma institución de salud pedir la denuncia por comisaria, _x000a_ 2 comisaria_x000a_ hoy mismo irá al hospital para activar la ruta y atencion en salud._x000a_Solicita seguimiento cualquier día despues de 5 pm cualquier día."/>
                <x14:filter val="16/11/2024 16:38 horas (Jeimy Antonio) se recibe caso de jornada mañana,  se marca para realizar tamizaje  en dos ocasiones, pero no ingresa llamada. _x000a_18:20 se genera nuevamente marcación, no hay respuesta._x000a_18-11 entre las 8:30 y 8:40 Lina Marcela se realizan 3 llamadas pero se redirecciona a buzón, se procede con el contacto de la persona de confianza, quien reconfirma el numero de celular, señala que su hermana trabaja entre las 2 pm y las 10 pm, por lo que la mañana en buen horario de llamada. a las 9:23 Lina Marcela: Devolución de llamada para tamizaje del equipo de riesgo, pero la llamada se fue a buzón de voz.                     _x000a_18/11/2024 15:28 (Luis Mancera) se realiza contacto con la señora Karen Lizeth Caleño Castillo al numero celular 3015649347 con el fin con se encuentra y realizar valora de riesgo, pero llamada es direccionada a buzo de voz  _x000a_19-11 entre 9:30 y 9:33 am Lina Marcela en 3 ocasiones se comunica con la línea de la sobreviviente, se direcciona a buzón de voz, no se establece contacto con la persona de seguridad ya que se presume que no está del todo enterada de la situación. retoma intento a las 10: 49 am se dirige a buzon de voz_x000a_20-11-2024 entre las 9:57 y  10:06 am (Lina Marcela) se realizan 5 llamadas a la sobreviviente, Devolución de llamada para tamizaje del equipo de riesgo, pero la llamada se fue a buzón de voz._x000a_22/11/2024. Ximena Suárez.  Se realizan dos llamados tanto a la víctima como a la persona de contacto seguro, pero no constan. LLAMAR HOY 22/11/2024; 3 PM EN LA TARDE.                                                                                                                                                                                                                                                                                                                                                        Luis Mancera 27/11/2024 16: 31 Se realiza contacto con la señora Karen Lizeth Caleño Castillo con el fin de conocer su estado y realizar tamizaje. La señora Karen Refiere “Yo fui a la fiscalía y yo expuse el caso y me explico en la fiscalía y me dice que mi caso no es relevante porque no hay amenazas de muerte y solo me dieron una carta para que no se me acercara y que no podían hacer nada y que los mensajes no son específicos y que toca cuando”.  Debido a que la usuaria esta trabajando y no puede continuar con la llamada para hacer la valoración se indaga en que momento se le puede contactar para poder continuar con el seguimiento y solicita ser contactada el 28 de noviembre después desde las 8 am. _x000a_28-11-2024 entre 8:00 y 8:12  Lina Marcela realizó 4  intentos. En tamizaje la sobreviviente señaló: se acercó a la FGN Soacha Parque cll 13#4A- 11. inidicó que allí le dieron medida de alejamiento &quot;formato de solicitud de medida de protección policial  FGN- MP02-F28&quot; en este oficio señalan el nombre del presunto agresor, señaló que le dijeron que la situación de ella no era de mayor riesgo y no podian hacer más, señaló que no le dieron ningún otro documento, con ello se presume que no tomaron denuncia. También señaló que dentro de los hostigamientos virtuales aun no tiene manera de confirmar que sea el agresor. _x000a_RUTA indicada:_x000a_1. radicar la medida en la estación PONAL cercana a su vivienda, y la que es cercana a su trabajo._x000a_2. CAI virtual, por delito cibernético._x000a_Indicó que hoy mismo haría la diligencia del CAI virtual, y mañana en la mañana radicaría en estaciones de PONAL. Solicitó seguimiento el sábado 30-11-24 despues de las 8 am _x000a_"/>
                <x14:filter val="18-11 a las 12:29 Laura transfirió caso , Lina MArcela tamizaje: la sorbeviviente reporta: ayer agresión, por su pareja (hoy expareja) tienen en comun una niña de 2 años, hoy fue a la comisaria 16 de familia en bogota, allí le dieron medida provisionales de protección y remisión a medicina legal para evaluación de riesgo feminicida, el agresor retuvo a la niña, la medida de protección incluyó que el agresor debia regresar a la niña a su progenitora, y que seria acompañada de PONAL, refiere que por la agresión se fue a donde su madre, pero alllí no pueden vivir, no hay condiciones para ella y su hijam esta interesarda en casa refugio. Ruta indicada:_x000a_1. dirigirse a INMLCF para ser valorada hoy mismo._x000a_2, radicar medida provisional de protección en la estacion de policia mas cercana._x000a_3. en comisaria de familia: solicitar custodia, cuotas alimentarias, y visitas, solicitar no ser confrontada, se le informa que por comisaria puede solicitar medida de atención, se le informa que se basanen : hospedaje, alimentación, y transporte._x000a_Refiere que hoy mismo irá a INMLCF y a la estacion de PONAL, solicita seguimeinto hoy18-11 a las  8 pm"/>
                <x14:filter val="18-11 a las 7:55 am, Lina Marcela llama 2 veces al número de la sobreviviente Devolución de llamada para tamizaje del equipo de riesgo, pero la llamada se fue a buzón de voz se vuelve a marcar a las 8:19 con el mismo resultado. A las 8:18 se llama 2 veces a la persona de confianza, se dirige a buzón de voz, se vuelve a intentar a las 12:19 con 4 intentos,  Devolución de llamada para tamizaje del equipo de riesgo, pero la llamada se fue a buzón de voz. Incluyendo el contacto de la persona de confianza.                                                                                                                                                                                                                                                                                         Luis Mancera: 18/11/2024, 15:00 se realiza contacto con la señora Deisy Mayerly Deisy Mayerly al numero 3142331281 con el fin con se encuentra y realizar valora de riesgo, pero llamada es direccionada a buzo de voz.                                                                                                                                                                                                                              Luis Mancera: 18/11/2024, 18:54 se realiza contacto con la señora Deisy Mayerly Amaya al numero 3142331281 con el fin con se encuentra y realizar valora de riesgo, logrando en contacto, pero durante dialogo usuaria no escucha y se termina llamada. A las 18: 58 vuelve a marcar direccionando la llamada al buzón voz_x000a_19-11 entre las 9:21 y 9:28 am Lina Marcela se comunica 4 veces con el # de la sobreviviente y el de la persona de confianza, en ambos casos  se dirige a buzón de voz, a las 9:54 AM Lina Marcela vuelve a intentar y se realiza tamizaje, la sobreviviente señala: agresor es un conocido con interés afectivo en la sobreviviente, el 16-11  el tipo irrumpió en la vivienda de la sobreviviente (viven en el mismo edificio pero supuestamente aparte)  al amenazó con apuñalarla (refirió que ya tiene antecedentes de apuñalar exparejas y se eufana de hacerlo con otras personas, él porta navaja). En la actualidad ella no se hospeda en su casa sino donde la madre en donde no hay lugar apropiado para ella y sus 3 hijos, está llendo a su propia casa en ciertos horarios para sacar ropa y cosas pertinentes y vuelve a donde la madre. RUTA orientada:_x000a_1. Fiscalia: denuncia, solicitar medida de protección y medida de protección, valoracion por INMLCF._x000a_2. dado el caso que no pueda acercarse, llamar a la linea 122._x000a_Se le indica solicitar radicados, se le indica que debe ser hoy en lo posible o cuanto antes._x000a_Solicita seguimiento mañana 20-11 despues de las 3:00 pm"/>
                <x14:filter val="18-11 a las 9:27 am Sergio trasfiere llamada a Lina Marcela, en tamizaje la sobreviviente refiere: el 15-11 interpuso la noticia en la comisaria de los Patios, allí le recepcionaron la denuncia y le informaron que por VIF y le dieron medida de protección # 346 del2024, reporta que la medida ya la radicó en estación de PONAL de Los Patios, gracias a ello cotó con acompañamiento para sacar sus cosas de la casa e irse para la casa de la madre.  Refiere que despues de salir de la casa de la pareja con cosas como la nevera y el carro, el agresor la contactó y la agredió por whatsapp, asegura temor en que el agresor la busque en su trabajo o en la nueva vivienda, solicita atención psicosocial,  se le informa que la ruta ya se activó y se debe hacer seguimiento a que fluya apropiadamente, entonces la ruta indicada es: _x000a_1 comisaria: reportar cualquier novedad del caso, un nuevo incidente o agresión._x000a_2. ponal: radicar la medida en la estación cercana a su vivienda y en la del trabajo_x000a_3. hospital: en el caso de la VSBG, no refiere ubicar una ultima fecha, se le informa sobre que es una emergencia que no prescribe y que con ello puede solocitar atención psicosocial accediendo por urgencias en un hospital._x000a_3. Casa de la mujer patiense: se le da información sobre la ubicación de la casa y la pertinencia de acercarse para solicitar información."/>
                <x14:filter val="18-11 entre las 8:47 y 8:54 am Lina Marcela se realizan 3 llamadas pero se redirecciona a buzón. Teniendo en cuenta que no ha sido posible realizar el tamizaje al caso de la señora Mónica Sofía Moreno Parales se establece comunicación con su amigo Andrés Felipe Sánchez en el número de celular 3213524517, quien informa que son vecinos que hoy ella está haciendo el proceso de la denuncia, refiere “tengo todos los soportes, ya está en la Comisaria y Fiscalía a afortunadamente este tipo ya salió del departamento”. Al consultar en que horario se puede establecer comunicación con la señora Mónica Sofia manifiesta que se le puede marcar a la señora en horas de la noche. Se reprograma el Tamizaje para la noche. Nimia Mena.                                                                                                                          18/11/2024 - 8:00 p.m.  Nimia Mena El día de hoy con el objetivo de realizar Tamizaje del caso de la señora Mónica Sofía Moreno Parales identificada con Cedula de ciudadanía No. 1007766980 se establece comunicación con la usuaria en el número de celular 3227351107, se realizan las preguntas quedando en nivel de riesgo en alto. La señora Mónica Sofía informa que el día de hoy fue nuevamente a la Fiscalía a consultar sobre la medida de protección y le informaron que esta activa, se solicita el número, sin embargo, manifiesta que la dejo con su amigo Andrés y refiere; “él se fue el día de ayer, pero a mí me llego información por parte de un amigo de él y me dijo que él no se ha ido, me van asignar una persona de la SIJIN el día jueves”. Del mismo modo informa que mañana ira a la Comisaria de familia. Se recomienda tener todas las medidas de prevención y cuidado, llamara a la línea 123 si se encuentra en peligro eminente, mantener las distancias con el agresor. Del mismo modo se le informa que se continuara con el seguimiento al caso, la usuaria se percibe asertiva. Se debe hacer seguimiento del caso el día de mañana."/>
                <x14:filter val="19/11/2024  a las 11:42 am Jenny Cruz transfirió llamada para tamizaje a Lina Marcela, la sobreviviente manifestó: temor por el agresor, temor a denunciar en terminos de que denunciar puede ponerla en mayor riesgo,  advirtió que en cualquier momento colgaba por la llegada del agresor,  refirió que eñ agresor la persigue y que la busca incluso donde sus familiares a donde llega  a tirar piedras buscandola, refiere que él ya ha estado preso por dorgas, refirió que ya lo denunció en fiscalia 2023 pero aseguró que no dieron ninguna citación y presume que el proceso se congeló, se reliazó tamizaje y se le indicó:_x000a_1. Comisaria: poner denuncia, solicitar medida de atencion, solicitar medida de protección, solicitar custodia y revisión de visitas  cuota de alimentos..., soliitar no ser confrontada._x000a_Se le indicó que sus preocupaciones de volver a ser agredida o que la espere a la salida de la comisaria sean comunicadas textualmente en la comisaria, se le indicó que llevase una maleta con sus documentos y roopa de cambio. _x000a_no se pudo terminar la información por que al parecer colgó lallamada, no se devolvió para prevenir riesgos."/>
                <x14:filter val="19-11 a las 11:21 am Lina Marcela tamizaje:la agresión física por parte de su pareja, ya se acercó a fiscalia e interpuso denuncia, le dieron orden para valoracion por INMLCF hoy esta en valoracion y ayer fue a a la EPS por urgencias, en la fiscalia tambien le informaron que en 10 dias aprox le asignarán fiscal al caso y  le dieron medida de protección  (al momento de la llamada no la tiene a la mano), debe ir a radicarla a la estación de PONAL. al momento de la llamada la sobreviviente se encuentra en INMLCF y la llamaron para entrar a valoración, no se pudo continuar la llamada se acordó seguimiento a las 12:00 m hoy mismo"/>
                <x14:filter val="19-11 a las 12:34 Jason Saenz transfiere llamada a Lina Marcela para tamizaje: la sobreviviente refiere que hoy su pareja con quien convivie la agredió fisicamente, le quitó el celular, se comunica desde el celular del jefe, ella tiene una hija de 16 años. Ruta indicada:_x000a_1. Comisaria de suba, denuncia, solicitar medidas de protección y valoracion de INMLCF_x000a_Solicitó seguiiento el 20-11 a las 3 pm (si llegase a recuperar el celular, OJO verificar que no conteste el agresor ) no refirió numero de persona de confianza, se le indicó que puede comunicarse con la 155 y solicitar que sea transferida de inmediato al equipo de riesgo."/>
                <x14:filter val="19-11-2024 3:30 p.m. Nimia Mena     El día de hoy con el objetivo de realizar Tamizaje del caso se intenta en varias oportunidades establecer comunicación con la señora Angie Yiseth Herrera Sabogal identificada con Cedula de ciudadanía No. 1013607131, en el número de celular reportado 3132587246, sin embargo, no responde. _x000a_        19/11/2024 4:43 P.M. Nimia Mena     El día de hoy con el objetivo de realizar Tamizaje del caso se intenta en varias oportunidades establecer comunicación con la señora Angie Yiseth Herrera Sabogal identificada con Cedula de ciudadanía No. 1013607131, en el número de celular reportado 3132587246, sin embargo, contesta un señor quien se identifica como Jesús Cortes y refiere que estoy equivocada, que no conoce a la señora Angie Yiseth Herrera Sabogal. _x000a_19/11/2024 - 5:39 p.m. El día de hoy con el objetivo de realizar Tamizaje del caso la señora Angie Yiseth Herrera Sabogal identificada con Cedula de ciudadanía No. 1013607131 se intenta establecer comunicación con la persona de contacto que reporto YEIMI RODRIGUEZ en el número de celular 3024574172, sin embargo, no responde y la llamada se va al buzón de voz.  _x000a_20-11-2024 entre 9:14 y 9:19 am (Lina Marcela) 3 llamadas y en la ultima cotestó un hombre que no habló y colgó, entre las 9:19 y 9:31 am se procedió a llamar a contacto de persona de confianza, con quien se habló sobre el interés de comunicarse directamente con la víctima, la persona indicó que la sobreviviente ayer fue a la comisaria pero que la comisaria le dijo que fuera a fiscalia, y desde entonces no han vuelto a hablar, se acordó volver a llamar a la persona de confianza a las 12:m para confirmar en que horario o  día se puede contactar a la sobreviviente y que esté en un lugar seguro._x000a_    20/11/2024 2:25 p.m. Nimia Mena      El día de hoy con el objetivo de realizar Tamizaje del caso la señora Angie Yiseth Herrera Sabogal identificada con Cedula de ciudadanía No. 1013607131 se intenta establecer comunicación con la persona de contacto que reporto YEIMI RODRIGUEZ en el número de celular 3024574172, sin embargo, el abonado se va directo al buzón de voz.   2:27 p.m. El día de hoy con el objetivo de realizar Tamizaje del caso se intenta en varias oportunidades establecer comunicación con la señora Angie Yiseth Herrera Sabogal identificada con Cedula de ciudadanía No. 1013607131, en el número de celular reportado 3132587246, sin embargo, no responde y la llamada se va al buzón de voz. _x000a_22/11/2024 14:46  Jeimy Antonio Se realiza marcación al número principal y es de un señor, se finaliza la llamada por seguridad. Se raliza marcación a la persona de confianza, no contesta.                                                                                                                                                                                                                                                                                                                              27/11/2024 16:11 Luis Mancera se realiza contacto con la señora Angie Yiseth Herrera Sabogal con el fin de conocer su estado y realizar tamizaje de riesgo, pero la llamada es direccionada al buzo de voz. _x000a_2-12-24 15:48 y 15:50 Lina Marcela 5 intentos se comunica al número de la sobreviviente pero contesta un hombre, no habló para evitar exponer a la sobreviviente a cualquier riesgo, procedió al contacto de la persona de confianza pero se fue a buzon."/>
                <x14:filter val="20/11/2024 17:00 y 17:28  Se realiza contacto con la señora Paola Andrea Duarte al numero 3147956910 con el fin de conocer su estado y realizar valoración de riesgo, pero la llamada es direccionada al buzo de voz. _x000a_21-11-2024 entre las 10:39 y 12:59 Lina Marcela realizó 3 intentos, Devolución de llamada para tamizaje del equipo de riesgo, pero la llamada se fue a buzón de voz._x000a_22/11/2024. Ximena Suárez.  Se realizan dos llamados para realizar el proceso de tamizaje pero no contesta, posiblemente no puede contactar.  LLAMAR HOY 22/11/2024 EN LA TARDE._x000a_22/11/2024 14:33 Jeimy antonio, se realizan dos marcaciones e ingresa directo a correo de voz.                                                                                                                                    22/11/2024 15:03, Luis Mancera se realiza contacto con la Paola Andrea Duarte al celular 3147956910 con el fin de conocer como se encuentra la usuaria y realizar tamizaje de riesgo, pero la llamada es direccionada al buzo de voz _x000a_27-11-2024  a las 15:30 Lina Marcela contacta a  la sobreviviente, refiere estar en el trabajo y se procede de manera rápida con  la llamada: se alcanzó a realizar tamizaje, refirió 5 hijos, ninguno en comun con el agresor, refiere que nunca antes ha puesto esta situación en conocimiento de ninguna autoridad y que lleva con el agresor un años aproximadamente, refiere que la agresión en el rostro fue hace un mes aproximadamente. Respecto a la ruta indicada en la primer llamada indicó que no ha ido a comisaria por que ella prefiere hablar con él para terminar, pero tiene miedo de la reacción que el sr pueda tener.  Se sensibilizó y se orientó sobre la labor de la comisaria que no es un proceso penal y que puede entarr a apoyarla en lo que ella quiere hacer y que la salvaguarde en su seguridad. En ese momento  la sobreviviente señala que debe colgar  por que en su trabajo surgió algo que requiere su atención pero solicitó ser recontactada mañana 28-11-24 a las 18:00 _x000a_NOTA: es oportuno  orientarle sobre los posibles servicios que puede prestar la comisaria o una casa de justicia en apoyarla en terminar esa relacion a traves del apoyo de un tercero y de contar con apoyo incluso en el desalojo y en medidas de protección. Esto no se le pudo explicar con detenimiento debido a la premura de su llamada."/>
                <x14:filter val="21-11-24 a las 10:57 am Jenny Vega transfirió caso a Lina Marcela. En tamizaje la sobreviviente refirió que 20-11-24 denunció en línea 122 a su expareja Numero Único de Noticia Criminal 2024112001299 , refirió que en la denuncia mencionó contra el: antecedente de código blanco, agresiones contra bienes en su trabajo, y otros hechos violentos, refirió que el agresor tiene antecedentes de haber rociado con gasolina a otra ex pareja. Señaló que en 2023 denunció VIF en la Fiscalia, pero no tiene número de proceso y desconoce avances, refirió que tiene 2 hijos: la de 18 años no es en comun con el agresor pero afirmó que con ella le activó código blanco en hospital de Bosa hacia el 2022 o 2021 (ella no tiene claridad en fecha) ella entró en proceso de protección ICBF y en la actualidad tiene la custodia el padre biológico (quien tambien agrede a la sobreviviente) , ella no tiene contacto con la hija desconoce acuerdo de visitas, con el hijo de 13 años en comun con el agresor tiene proceso con ICBF por VIF. Se indagó sobre si la Fiscalia le dió medias de atención o medias de protección, refirió que unicamente señalaron que se podría comunicar al 123 y all´pi decir que el señor estaba denunciado, a su correo enviaron informacion sobre sus derechos ydeberes y le recomendarone star pendiente del correo por que allí enviarían información. No se pudo continuar con la llamada ya que se perdió comunicación y no volvió a contestar.  Lina Marcela se comunicó con funcionaria de ICBF Camila Oyola, reportó que el número del proceso de restablecimiento de derechos del niño es SIM 13847107 se abrio en enero 2024, y se cerro en jul 2024) y el de la niña es  SIM 1762927104 refirió que el caso lo remitieron a comisaria de familia, señala que ella tiene discapacidad intelectualy sindorme de William, refiere madre ausente, custodia para el padre biologico, ella tuvo proceso especializado con entidad &quot;creemos en ti&quot;, cerrado  por logro de objetivos._x000a_La llamada se cayó y la sobreviviente no volvió a contestar llamada, por lo anterior no fue posible acordar RUTA."/>
                <x14:filter val="2-12-2024 17:38 Lina Marcela, Gun transfiere. En tamizaje la sobreviviente refirió: el agresor tiene antecedentes penales presuntamente por intento de homicidio, apuñaló a una persona. RIESGO. Ella refiere antecedentes de VSBG, la ha amenazado de muerte y la sobreviviente tiene miedo. En la actualidad conviven, ella desea terminar la relación y tener protección, teme las amenazas que le hace para quitarle el niño.  No refiere precedente en proceso de denuncia con ninguna entidad._x000a_Se le orienta sobre la no prescripción de la VSBG y la pertinencia de la atención en salud, sin embargo ella informa que su interés radica en protección, finalizar la relación y la protección de su hijo. _x000a_RUTa indicada:_x000a_1._x0009_Comisaria se le indican horarios, solicitar MP, solicitar información sobre división de bienes, no ser confrontada, solicitar delegar a terceros y evitar ser confrontada en las visitas del hijo, consultar por posible medida de atención o desalojo del agresor, _x000a_Solicita seguimiento 3-12-24 a las 12:00 m_x000a_"/>
                <x14:filter val="2-12-2024 19:20 Lina MArcela, jhensen transfiere. En tamizaje la sobreviviente refirió: el 25-10-2024 en comisaria de Soacha recibió MP provisional 646-2024, REC 1474-2024, orden de remisión por VIF a FGN, remisión a salud, remisión a INMLCF (valoración física y psicológica), aseguró que radicó la MP en la PONAL cercana a su casa (falta en el trabajo), fue al hospital, no ha ido a INMLCF. La comisaria tiene citación para el 20-5-2025 al agresor. Desde la fecha de conocimiento de la comisaria, se han presentado nuevos hechos de VBG psicológica, no ha puesto la actualización en comisaria._x000a_RUTA indicada_x000a_1 Comisaria: en la misma comisaria acercarse y poner en conocimiento los nuevos hechos violentos._x000a_1._x0009_PONAL estación mas cercana a su trabajo, se le inidcpo que debe hacerlo tanto en la ponal cercana a su casa como a la cercana a su trabajo._x000a_2._x0009_Se le orientó sore la importancia de ir pronto a INMLCF, para la respectiva valoración._x000a_Ella confirmó que a mas tardar estaría haciendo estas diligencias el 4-12-24 en horas de la mañana. Solicitó seguimiento 4-12-2024 en horas de la mañana._x000a_"/>
                <x14:filter val="2-12-24 15:55 Lina Marcela . transfirió Gun. En tamizaje la sobreviviente refirió: en la actualidad no conviven, ella no trabaja actualmente por que su hijo la necesita. Refiere que el agresor posiblemente tiene copias de las llaves de su casa, no refiere antecedentes de proceso por la VBG en ninguna institución. Ha habido violencia física previamente. _x000a_RUTA INDICADA_x000a_1._x0009_Comisaria. Solicitar medidas de protección se le indica que deben radicarse inmediatamente a PONAL. Solicitar delegar a terceros y evitar ser confrontada en las visitas del hijo en común _x000a_Solicita seguimiento el 3-12-2024 entre 14 y 15 hrs. _x000a_"/>
                <x14:filter val="2-12-24 16:30 Lina Marcela, Jenny vega transfiere. En tamizaje la sobreviviente refirió: su pareja tiene un posible retraso no diagnosticado, además una ludopatía diagnosticada y es consumidor de alcohol, abandonó el tratamiento psiquiátrico y psicológico. Refiere que se ha endeudado y que ha sacado cosas de su casa para empeñar. La sobreviviente refiere que previamente solicitó ayuda de la comisaria pero la respuesta que recibió no generó proceso sino que fue como una conversación con la familia del agresor. Ella refiere que desea terminar la relación, tiene miedo de su reacción._x000a_RUTA indicada:_x000a_1._x0009_Comisaria, solicitar medida de protección, medida de desalojo del agresor, señalar los antecedentes psiquiátricos del agresor y posible interdicción. Solicitar información respecto a división de bienes._x000a_Solicito seguimiento el 10-12-2024 entre 9:00 y 14:00 hras_x000a_"/>
                <x14:filter val="22-11-2024 a las 10:18 Jenny vega transfiere a Lina Marcela. En tamizaje la sobreviviente refirió que  ninguno de los hijos son del agresor; la última agresión fisica fue el 18-11-2024, no refiere antecedentes de denuncia previos, aún tiene huellas de la agresión en su cuerpo (incidente por las escaleras y agresion por quitarle el celular). Refirió que el 19-11-2024 en llamada 122  denunció el hecho, le dieron el número 2024111903896, se indagó sobre MP y valoración médica ella refirió que le indicaron que con ese # debía acercarse a una comisaria para solicitar (aquí ella no recuerda que es y ante el nombre mencionado ella supone que si es medida de protección) Medida protección, refiere que no le dieron indicación para caloración médica. RUTA indicada:_x000a_1. ESE, por urgencias , allí solicitar que el caso se conecte con comisaría de familia  y solicitar MP_x000a_Solicitó seguimiento el 26-11-24 8:00 am"/>
                <x14:filter val="22-11-2024 a las 11:42 Diana Becerra transfiere a Lina Marcela. En tamizaje la sobreviviente refirió: con el agresor conviven en la casa de los padres de la sobreviviente, no  hay denuncia ni proceso previo, la última agresión fisica fue anoche y tiene el cuerpo &quot;maguyado&quot;, ella asegura que no volverá a su casa hasta que el agresor se haya ido._x000a_RUTA indicada: _x000a_1.comisaria: solicitar allí no ser confrontada, solicitar el desalojo, solicitar valoración médica y psicológica, solicitar medidas de protección._x000a_Solicita seguimiento en cualquier momento, pero en particular hoy a las 17:00"/>
                <x14:filter val="24-11-24 Andres Herrera reportó que recibió el caso en la noche, no hubo persona del equipo de riesgo en el mismo turno ni tampoco de seguimiento al cambio de turno, por lo que lo referenció directamente a Lina Marcela, entre 8:23 y  8:33 se intentaron 4 veces pero la llamada se direccionó a buzón de voz. 8:35 se contacto a persona de confianza, y ella me comunicó directamente con la sobreviviente, se realizó tamizaje y referenció que la violencia  es psicológica sin antecedentes de violencia física, de sus 3  hijos ninguno es hijo del agresor y que las discusiones se motivan debido a que los mayores de edad no aportan economicamente al sustento del hogar. Refirió que anoche llamaron a la PONAL pero nunca llegó y &quot;nos acostamos a dormir&quot; refiere que el CAI mas cercano es el de MOtilones calle 15, refiere que ante el hecho de que la sobreviviente llamó al 155 el agresor le pidió disculpas pero ella aseguró que ya no habia vuelta atras y estaba agotada de sus maltratos. Refirio que no hay ningún proceso previo por la situacion de violencia con su pareja. RUTA indicada:_x000a_1. Comisaria: poner en conocimiento la VBg de la pareja, y solicitar revisión respecto a las dinamicas con los hijos y los acuerdos al respecto. Solicitar si procede medida de protección._x000a_La sobreviviente solicita seguimiento el martes 26-11-24 despues de las 15:00"/>
                <x14:filter val="24-11-24 JAson Saenz transfiere llamada a Lina MArcela, en tamizaje la soobreviviente  señaló:  los 2 hijos son en común con el agresor, ella refiere sintomas depresivos por lo impactos de la VBG pero no proceso ni diagnostico, refirió situación de presunta violencia vicaria,  desde el finde semana pasado ella se fue de la casa del agresor, esta viviendo en la misma cuadra, el niño menor solicitó quedarse con el papá, la niña mayor esta con la madre, refiere que el niño menor ha amenazado con suicidarse, la sobreviviente refiere que no ha hecho antes ninguna denuncia sobre la situación. _x000a_Ruta indicada:_x000a_1. Comisaria: solicitar MP, custodia, visitas, cuotas. Señalar la situacón del niño respecto a salud mental, y si procede con ella misma_x000a_Solicitó seguimiento el 25-11-24 a las 2 pm"/>
                <x14:filter val="24-11-24 Jennifer Geraldine reportó que recibió el caso en la noche, no hubo persona del equipo de riesgo en el mismo turno ni tampoco de seguimiento al cambio de turno, por lo que lo referenció directamente a Lina Marcela: a las 12:30 la sobreviviente manifestó que tiene 3 hijos, ninguno en comun con el agresor y que solo vive con el hijo menor y el agresor,  refiere que nunca ha puesto ningun tipo de denuncia sobre la VBG,  no manifiesta interés de denuncia asegura que primero debe hablar con el sujeto, y que no tiene tiempo para ir a comisaria, tampoco manifiesta mayor interés en llamar a la linea de la comisaria, afirmó que mañana despues de las 5 pm de pronto iba a la comisaria, se le recordó el horario de cada una y la direccion, y continua asegurando que no se le ajusta el tiempo o la distancia y no quiere estar de noche en la calle. Ella asegura que él es agresivo cuando toma. ella dice que debe hablar con el y que seguro la va a culpar y ella no tiene culpa pero debe hablar con el.  Se le escucha un constante jadeo por el dolor de cabeza, sólo tomará una pastilla y que no irá al hospital para mañana ir a trabajar. ,Se sensibilizó sobre el posible escalamiento de la VBG, sobre la importancia de la denuncia._x000a_Solicitó seguimiento el MArtes 26-11-24 a las 18:00"/>
                <x14:filter val="26-11-2024 12:53 Mauricio Rojas transfirió llamada a Lina Marcela, se alcanzó a recepcionar llamada y a presentar, pero la llamada se cayó, no fue posible volver a contactar. NOTA: la comisaria que reporta en seguimiento no corresponde al caso pero el sistema Salvia lo solicitó.                                                                                    26/11/2024  1:13 pm (Sandra Briceño)  Se realizan 3 llamadas para tamizaje de riesgo feminicida pero la llamada es rechazada o se cae, pasa a buzón al primer timbre.                                                                                                                                                                                                                                                                                                             27/11/2024 2:40 pm (Sandra Briceño) Se logra contacto con la usuaria a la tercera llamada pero no es posible realizar el tamizaje ya que solicita ser contactada a las 8:00 pm porque se encuentra en el trabajo._x000a_2-12-24 15:42 Lina Marcela se comunica y la sobreviviente señala que está laborando, no puede recibir la llamada solicita ser recontactada hoy 18:00_x000a_2-12-2024 entre 19:00 y 19:06 Lina Marcela 4 intentos para tamizaje, incluyendo al contacto seguro pero se va a buzón.                                                                              3/12/2024 20:30 (Paola Mosquera) se realizan tees llamadas al numero y al contacto de emergencia las cuales no fueron efectivas.                                                 05/12/2024 12:40 pm (Sandra Briceño)  Ser realizan 4 llamadas para tamizaje de riesgo feminicida, timbra y pasa a buzón de voz. A la 4 llamada la señora responde y manifiesta que se encuentra trabajando y solicita ser llamada a las 8:00 PM_x000a_5-12-24 entre 20:20 y 20:23 Lina Marcela realiza 3 llamadas intentos incluido el contacto de confianza, pero se direccionan a buzón de voz"/>
                <x14:filter val="26-11-24 a las 10:17 Andres transfirió  llamada a Lina Marcela, en tamizaje la mujer señala que sus 2 hijos no son del agresor, con quien convivia hace 4 meses, refiere amenazas reiterativas de muerte contra ella y los hijos, asegura que no hay denuncia previa ni similar. Ella tiene turnos de 8 horas en las que está fuera de la casa en la calle permanentemente, sus hijos quedan solos en casa, refiere que van dos veces en que el agresor llega  asu casa y empieza a golpear las puertas y a gritar a sus hijos que los va a matar. sin red de apoyo en Bucaramanga, refiere que no puede regresar a donde su familia por presuntas amenazas del conflicto armado con las cuales no ha puesto declaración por temor. la llamada se cortó y se intentó reconectar pero se fue a buzón de voz._x000a_RUTA indicada: _x000a_1 comisaria de familia de bucaramanga, solicitar MP para ella y sus hijos, Medida de atención, valoración médica y psicológca, _x000a_2. EPS remisión a psicología._x000a_No se pudo acordar fecha de seguimiento debido a la caida de la llamada."/>
                <x14:filter val="27/11/2024 4pm caso transmitido por Henry Salazar a Lina MArcela , 3 veces buzón de voz, se procede con el contacto de confianza, con quien se acuerda llamar  mañana 27-11-24 a primera hora, ella entregará razón Lina Roa._x000a_28-11-24 entre las 6:00 y 6:12 Lina Marcela se comunica al número de la sobreviviente de acuerdo a lo acordado con la persona de confianza, Devolución de llamada para tamizaje del equipo de riesgo, pero la llamada se fue a buzón de voz 4 intentos. 09:01 Lina MArcela vuelve a contactar, en tamizaje la sobreviviente refiere: tiene 3 hijos los 2 menores en común con el agresor. Hace aproximadamente 1 mes ella se fue de la casa en la convivia con el agresor y se llevó a sus hijos, en la actualidad viven en una habitación en arriendo. Refirió que hace aproximadamente 10 años &quot;denunció&quot; en la alcaldia de Kenedy, pero desconoce en qué finalizó el proceso, no tiene certeza en que institución.  En la actualidad el agresor tiene una demanda FGN por alimentos con otra persona con quien tiene un hijo, en la actualidad tiene medidas cautelares por el incumplimiento en dicha demanda. Refiere que con ella, en la actualidad no hay precedente de ningun tipo de denuncia.  RUTA indicada:_x000a_1. comisaria: se inidcó la comisaria mas cerca, una semipermanente y una permanente. Se indicó que podría poner en conocimiento de manera telefónicamente. Se le indicó sobre las medidas de protección y de atención. Se le orientó que puede solicitar no ser confrontada y que puede solicitar que ante las visitas con los hijos, puede solicitar que sea mediante un tercero._x000a_Refirió que se organizaba para activar la ruta el martes 3-12-24, solicitó seguimiento el 4-12-2024 despues de las 9: am"/>
                <x14:filter val="28/11/2024 10:48 JEssika Niño transfiere llamada a Lina MArcela. En tamizaje la sobreviviente refirió que el 22-11-2024 tuvo la ultima agresión fisica (es la que señala en Salvia por ir a sacar sus pertenencias). Señaló que ante ello se comunicó a las 122 y allí por correo le dieron NUNC #110016000052202441399 le informaaron que en dias proximos le confirmarán el numero del despacho que tomará el caso, en esa llamada le indicaron que debería acercarse al hospital porque estaba herida. Ella se dirigió a la clínica Roma, allí le preguntaron si ella ya tenia proceso por la VBG y ella confirmó y solicitó que le dieran la historia clinica, pero aseguró que no suministró # de NUNC, por lo que no hay certeza que la información ingresó a FGN.  En la actualidad está en casa de sus padres. RUTA indicada:_x000a_1. FGN: comunicarse con la 122 para confirmar que la historia clínica ingresó a su caso. allí consultar sobre solicitud de medida de protección.  Ella refiere que hoy mismo hará la diligencia. Solicita seguimiento siempre sea entre las 9 y las 11 am, se acordó recontactar el 29-11-2024"/>
                <x14:filter val="28/11/2024 6:17 Lina MArcela, en tamizaje la sobreviviente señaló: ]Tienen 1 hijo en cpmún con el agresor y el 19-11-2023 ella denunció en comisaria 6 de MEdellín, ese proceso le generó unas medidas de protección, custodia permanente, cuota de mensualidad y casa refugio, pero ese proceso ya finalizó. Ella se trasladó a Villeta y volvió con el agresor. En la actualidad el 24-11-2024 el sr la agredió en la cabeza, ella fue a ESE Calazar, en donde fue atendida durante toda la noche sin embargo ella no señaló que fue por VBG y la ruta no se activó. El 25-11-2024 regresó a su casa y le informaron que el agresor se habia llevado al niño y ademas los papeles del proceso de comisaria de MEdellín, al respecto señaló que puso denuncia en Fiscali a por robo de documentos y se dirigió a Comisaria en Villeta y desde allí activó la ruta con # 899999312-2 le dieron custodia provisional, MP (#0110-2024 de 25 de noviembre de 2024) medida de alejamiento, le regresaron el hijo, le dieron orden de INMLCF para valoración psicológica. En la tarde del 25-11-2024 la comisaria le retiró su hijo a un hogar de paso por PARD-RUG#051-2024. Ella afirmó que Comisaria le indicó que ella debia buscar atención psicosocial, estabilidad y quien le cuide al niño. Ella indicó que mañana tendrá la primer audiencia del caso. El nombre del agresor es Cristian Guillermo _x000a_RUTA indicada: _x000a_1. Aclaración: se le informó que el proceso de Medellín ya cerró y que la comisaria puede revisar y actualizar decisiones frente al Niño. _x000a_2. se le informó que ella puede solicitar no ser confrontada._x000a_3. Se le informó que respecto al tema con el hijo, ella puede solicitar que sea regulado por la institucionalidad en terminos de revisar visitas y que en las mismas ella puede solicitar no ser confrntada, es decir que sea mediada a través de terceros._x000a_Ella solicitó seguimiento 29-11-2024 entre 9:00 y 16:00"/>
                <x14:filter val="28-11-2024 12:23 Gunkewia trasnfiere llamada a Lina Marcela, en tamizaje la sobreviviente señaló: 3 hijos en comun con el agresor, tiene 2 antecedentes de denuncias por la VBG, 1 en FGN hace muchos años, no tiene ni recuerdo de posible fecha y no le hizo seguimiento. 2. en centro de convivencia ciudadana hace mas de 15 años. Refirió que si la ha agredido fisicamente pero no es reciente y la permannete agresion es verbal y psicológica. Refiere que quiere terminar la relación pero que el agresor regresa. pide perdón y regresan, no quiere repetirlo. En la actualidad ella se fue de la casa y reside donde familiares._x000a_RUTA INDICADA:_x000a_1. comisaria de familia:  solicitar medida de alejamiento, no ser confrontada, acompañamiento para sacar las cosas de la casa._x000a_2. EPS psicología, para contar con atención psicosocial sobre la dependencia en las relaciones._x000a_Solicitó seguimiento mañana 29-11-2024 despues de las 2:00 pm._x000a_"/>
                <x14:filter val="29/11/2024 17:05 Jeimy Antonio, se recibe transferencia de Julieth Cubillos, se realiza la presentación en la llamada, se deja en espera en empalme indicandole a la señora que si se cae la llamada se le devolverá, le confirmo el número, efectivamente la usuaria cuelga y le devuelvo la llamada en tres oportunidades y no responde. _x000a_30/11/2024 14;14 Jeimy Antonio, me comunico con la señora contesta, me presento y cuelga la llamada, marco de nuevo y rechaza la llamada. _x000a_02/12/2024 8:24 me comunico al celular, me contesta un caballero, indica que la señora Paola no se encuentra, que se puede contactar más tarde.  Se sugiere llamar la tarde. _x000a_2-12-24 entre 15:16 y 15:28 Lina Marcela realizó 5 intentos para tamizaje, pero la llamada se fue a buzón de voz. El mismo panorama se presentó con el contacto de la persona de confianza._x000a_5-12-24 entre 16:30 y 16:38Lina Marcela recontacta. 4 intentos incluido el contacto de confianza, pero se direccionan a buzón de voz"/>
                <x14:filter val="29/11/2024 Heyder Fabián Guerrero Chavarro PONAL transfirió llamada a Lina Marcela. en tamizaje refiere: el 12-11-2024 en comisaria 3 pone en conocimioento su situación con # 1352024 por VIF, le dieron unas medidas provisionales de protección (no refirió #) donde solicitan que el agresor debe absternerse de cualquier violencia, no acercarse y ser vigilada por PONAL. ya radicó la Medida. Despues de dicha diligencia, el agresor volvió a su casa, la agredió y llamaron a 123, la PONAL se presentó y la sobreviviente asegura que el agresor sacó cosas de su casa (como la tv de los niños y la cama de los niños), asegurpo que a él tambien le dieron medidas de protección y con ellas la PONAL le permitió sacar las cosas, pero la sobreviviente desconoce con certeza que papel tiene el agresor. Reporta que la comisaria también retiró a los 2 hijos de la vivienda y refiere que tiene un documento que señala que ellos están con un PARD, pero no reporta número del mismo. Sobreviviente refiere que está en proceso psicológico por la EPS, con depresión y ella asegura que el diagnóstico es por las violencias que vive con su ex pareja. Aseguró que ha ido a la casa de la mujer y allí ha hablado pero no han activado ruta pensando que comisaria le quitaba los NNA._x000a_RUTA indicada:_x000a_1. volver a comisaria para reportar los nuevos hechos despues de radicar la medida de protección, se le indicó que debe solicitar información sobre la supuesta medida de proteccion que le dieron al agresor y con la cual él pudo sacar cosas de la casa (con la finalidad que ella comprenda mejor la situación)._x000a_2. solicitar no ser confrontada, refiere que ver al agresor le ha generado crisis._x000a_Solicita seguimeinto 30-11- 2024 a las 12:00 M"/>
                <x14:filter val="29-11-2024 10:55 Diana Becerra transfiere Lina Marcela, en tamizaje sobreviviente refiere: hay 2 hijos en comun, no tiene antecedentes con ninguna entidad  sobre la situacion, la amenaza con cuchillos. conviven en la misma casa, esta madrugada fue la mas reciente discusion y el sr se fue de casa aparentemente. de esta discusión ella tiene morados en las piernas. Ella busca terminar con el agresor y protección para ella y sus hijos._x000a_RUTA indicada:_x000a_1. medida de protección (se le inidca que se debe radicar en POINAL inmediatamente), solicitar valoracion medica y psicológica, solicitar no ser confrontada, solicitar que las visitas (en el caso de custodias) sean a traves de 3° para evitar ser confrontada._x000a_En el caso de VSBG se le indicó la ruta._x000a_Solicitó seguimiento el lunes 2-12-24 entre 8 y 11 am"/>
                <x14:filter val="29-11-2024 9:36 Diana Becerra transfiere Lina Marcela, la sobreviviente en la llamada en varias ocasiones entró en crisis, fue necesario PAP. Al momento de la llamada estaba fuera de casa por lo que no contaba con información puntual pero refirió que en Febrero-2024 en Floridablanca Santander ella puso en conocimeinto la situación, fue a la comisaria, FGN, estuvo en la clinica y por la herida le cogieron puntos, le dieron cita para INMLCF donde tuvo incapacidad, le dieron MP pero la sobreviviente finalmente solicitó ir a conciliación y volvió con el agresor.  Refiere desconocer la ciudad en la que se encuentra, refiere que se está desplazando a la casa de justicia donde le indicaron el dia de ayer. En su discurso es evidente la sobrecarga emocional, el nivel de impacto._x000a_RUTA indicada: _x000a_Tomando en cuenta que ella se encuentra en camino a la casa de justicia se le indica:_x000a_1. comisaria solicitar MP, valoracion psicológica, afirma que quiere alejarse del sr y que nola vuelva a buscar por que ella cede._x000a_2. linea 106_x000a_NOTA: ella menciona que quiere ir a psicologia y cree que está no afiliada, se revisa en ADRES y allí ella sale activa, pero, debido al nivel de activación que ella tiene al momento de la llamada y aque está en camino a la casa de justicia, se le da una primer indicación y es activar por comisaria, s_x000a_Solicita seguimiento 30-11-2024 a las 8:00 am"/>
                <x14:filter val="29-11-24 12:48 Lina Marcela: la sobreviviente puso la denuncia en la pagina de la fiscalia, # radicado 2024112900737 ,  reifiró que ha violentado a sus pafdres con palos, ha estado internado en varias ocasiones en centros psiquitaricos._x000a_RUTA indicada: _x000a_1. en la linea 122 puede solicitar medidas de protección para ella y su hija._x000a_2. pagina del ejercicto puede poner en conocimiento la situación, en terminos de la salud mental del agresor y del proceso psiquiatrico que sigue, es un riesgo para la comunidad._x000a_La llamada se cortó y se devolvió la llamada en 3 intentos, pero se direccionó a buzpon de voz."/>
                <x14:filter val="3-12-24 14:43 Lina Marcela, Laura Soler transfirió. En tamizaje reportó: celotipia, agresión psicológica en torno a las visitas de los hijos, no refiere antecedentes de ningún tipo de denuncia de la VBG, refiere que también agrede psicológicamente a la madre de la sobreviviente. Ella refiere que esta interesada en que el agresor la “deje tranquilo, que no busque más”_x000a_Ruta indicada:_x000a_1 comisaria, MP (y si la entregan radicarla), visitas de los hijos mediadas a través de un tercero._x000a_Refiere que proyecta ir a comisaria 4-12-24, solicita seguimiento 4-12-24 a las 12:00 m_x000a_"/>
                <x14:filter val="3-12-24 16:42 Lina Marcela. Jenny Vega transfiere. En tamizaje la sobreviviente refirió: con su expareja actualmente no conviven, no cuenta con ningún precedente de denuncia o similar sobre la situación de VBG ni de VSBG. Ella misma se señala como loable emocionalmente. No está convencida de activar la ruta pese a la sensibilización. Refirió que su interés en la llamada era solicitar información._x000a_RUTA indicada:_x000a_1._x0009_ESE, urgencias, código fucsia, remisión psiquiatria o psicología._x000a_Afirma que activará la ruta el Fin de semana, solicita seguimiento 9-12-24 entre 15:00 y 16:00 hrs._x000a_"/>
                <x14:filter val="3-12-24 19:10 Lina Marcela. Jensen transfiere. Em tamizaje la sobreviviente refirió: en la actualidad tiene hematomas, no cuenta con ningún precedente de denuncia o similar sobre la situación de VBG,  conviven con el agresor pero debido a que la sobreviviente comunico la situación con su arrendataria directamente solicitó en la administración que el agresor no podía ingresar al conjunto y mañana harán cambio de guardas de la puerta.  Refirió que ayer el agresor fue a la casa para sacar su ropa, ella llamó al 123 y hasta que ellos llegaron le permitió el ingreso a la vivienda. Refirió que su interés en la llamada era protección, tiene miedo._x000a_RUTa indicada:_x000a_1._x0009_Comisaria, MP (y si la dan, radicarla) y preguntar sobre como puede ser su manejo en el caso de viaje fuera del municipio por vacaciones, solicitar desalojo, _x000a_Afirma que activará la ruta mañana en la mañana, solicita seguimiento 4-12-24 10:00 hrs._x000a_"/>
                <x14:filter val="3-12-24 20:11 Lina Marcela. Gun transfiere. Em tamizaje la sobreviviente refirió: no convive en la actualidad con el agresor, 1 hijo en común si tiene antecedentes de denuncia: comisaria 4, RUG #10912024 por VIF fecha 26-6-24. No cuenta con MP, refiere que fue una única amenaza en ese momento, refiere que no ha vuelto a tener ningúna novedad en el caso, sino el vidrio roto el pasado 29-11-24, ella sospecha que fue el agresor, pero no cuenta con ninguna evidencia ni ningún precedente a parte de la denuncia de junio, en donde ya fueron a audiencia y les ordenaron ir a terapia. Ella indicó que en ICBF ya acordaron custodia compartida, se le indicó que ella tiene derecho a no ser confrontada inclusive con las visitas de su hija se le indicó la ruta para hacerlo (con ICBF) pero se mostró renuente insistiendo en las medidas de protección. Al final de la llamada aseguró recordar que el ex si le ha hecho nuevas agresiones pero no recuerda fechas, asegura que fue el 2-11-24, se le informa sobre los 30 dias de prescripción de VIF, se le orienta sobre la importancia de poner las novedades en los tiempos oportunos y de si le esposible pero no es condicional suministrar las pruebas que tenga. De igual manera se le indicó que si su molestia continua ella tiene derecho a solicitar revisión de la situación del 29-11-24 sobre el vidrio y su sospecha que su ex pareja es el autor y sobre el hecho de si la comisaria debía o no recibir la situación , ella podría acercarse al Min público y solicitar la revisión._x000a_Ruta:_x000a_1 en icbf solicitar no confrontación en las visitas de la hija y que sea mediada a través de un 3, ella asegura que no tiene tiempo para hacer la llamada pero solicita seguimiento 9-12-24 a la 13:00 _x000a_"/>
                <x14:filter val="4-12-24 15:03 Lina MArcela, transfiere Lina Lozano. En tamizaje la sobreviviente refirió: anoche su pareja  las agredió a ella y a su hija Yenny, la madre tiene hematomas y está adolorida por las patadas, su hija tiene una herida abierta. Refiere que tienen precedente con FGN Soacha en 2022 pero no tienen documentos debido a que anoche el agresor los destruyó, de este proceso tuvieron orden para Colpensiones y refiere que cuando fue a radicarlo le dijeron que faltaba la firma de juez de familia y finalmente nunca pasó de ahí (el agresor tiene pensión y se ordenó que de allí había un dinero para la sobreviviente), también le dieron MP que radicaron, pero regresaron la pareja en contra de todo pronóstico regresaron a convivir.  En la actualidad no han ido al ESE._x000a_RUTa indicada_x000a_1._x0009_ESE ambas deben ir, por urgencias, solicitar atención psicológica,  solicitar que el caso sea conectado con comisaria, señalar que tienen precedentes en FGN, señalar incumplimiento de MP, se orienta sobre Mp y medidas de atención y medidas de desalojo (tomando en cuenta que ninguna de las 2 cuenta con un ingreso económico)._x000a_Aseguraron que hoy mismo en la noche iran al ESE (pese a que se le indicó el nivel de urgencia frente a una herida abierta) solicitó seguimiento hoy mismo 22:00_x000a_"/>
                <x14:filter val="4-12-24 16:45 Lina Marcela recontacta. En tamizaje la sobreviviente refirió: tiene 2 hijos y la menor es en común con el agresor, conviven en la actualidad,  refiere que la violencia reciente es psicológica, patrimonial económica, no refiere antecedentes del proceso, NO ES INDIGENA. Señaló que recibió la indicación inicialmente de acercarse a FGN en línea 122, hoy llamó y le ofrecieron medida de desalojo pero ella rechazó en correo le informan # incidente 2024120401243 señalan que proceden actos urgentes. Ella refirió que su interés es terminar con el señor._x000a_Ruta indicada:_x000a_1._x0009_Comisaria:  MP y solicitar desalojo (confirmó que si esta interesada…), no ser confrontada en su proceso ni tampoco en las visitas de la hija._x000a_Ella señaló que irá a comisaria el 9-12-24, solicitó seguimiento el 9-12-24 a las 17:00hrs_x000a_"/>
                <x14:filter val="5-12-2024 14:40 Lina Marcela recontacta.  En tamizaje la sobreviviente refirió: no tiene precedentes de ningún tipo de violencia (se indagó), pero anoche en un episodio de intensa ira la intentó agredir con cuchillo y la suegra resultó herida, se indagó sobre estados de salud, refirió que la sobreviviente no tiene ningún impacto al igual que sus hijos, su suegra refirió que fue “un rayonazo, nada grave” y que no iría al hospital porque no lo veía necesario. En la actualidad la sobreviviente se fue de la casa con sus hijos y están en donde la cuñada en la casa de al lado de su propia casa, refiere que el agresor no tiene llaves de esa casa, el agresor está en su casa. La sobreviviente demanda: “yo quiero protección”. Aseguró que hoy se acercó a la inspección de PONAL del barrio Vallao, afirmó que no le recibieron “me dijeron que no estaban atendiendo, que vuelva mañana”, debido al nivel de riesgo se le indicó una nueva ruta:_x000a_RUTa indicada:_x000a_1._x0009_Llamada 122, solicitar MP, solicitar medida de desalojo._x000a_2._x0009_Mañana ir a comisaria y si no le reciben el caso tomar nota del nombre y cargo de la persona, en comisaria poner en conocimiento, y hablar de las visitas de sus hijos para que sean mediadas por un tercero._x000a_Aseguró que hoy llamará a 122 y mañana irá de nuevo a comisaria. Solicitó seguimiento 7-12-24 14:30._x000a_"/>
                <x14:filter val="5-12-24 16:55 Lina Marcela, Jenny Vega transfiere. Teléfono 3168907191 .En tamizaje la sobreviviente refirió: hoy la agredió su pareja, está maltratada, sus hijos están impactados emocionalemte igual que ella, la obligao a consumir durante el embarazo. Convive con el agresor pero a partir de la agresión de hoy la sobreviviente se fue a donde sus padres, presunta violencia sexual. El sujeto la ha obligado a pagar 30.000 pesos diarios (refiere que el agresor tiene problemas serios de consumo) pero ellano trabaja, No refiere antecedentes de ningún tipo de denuncia. _x000a_Ruta indicada_x000a_1._x0009_ESE: urgencias, solicitar atención psicológica, solicitar conecvtar con comisaria, solicitar MP,  solicitar no ser confrontada._x000a_Con su madre, aseguran que hoy iran a ESE, solicitan seguimiento 6 o 7 del 12-24 a las 10 am_x000a_"/>
                <x14:filter val="5-12-24 18:30 Lina Marcela. Transfiere Laura González. En tamizaje la sobreviviente refirió: antecedentes en comisaria de familia pero no tiene oficio del proceso, aseguró que dieron MP #9732021, después los citaron a conciliar. Aseguró que entre esta fecha y el 2024 ha puesto en conocimiento nuevos hechos violentos pero no tiene información de los reportes ni radicados o similar. Aseguró que en marzo del 2024 dieron el cuidado y tenencia provisional del hijo al agresor, por lo que ella asegura que regresaron como pareja. Ante las quejas del agresor al niño dieron MP contra la madre MP #551D2024. Aseguró que en ese momento les ordenaron ir a terapia de pareja pero el agresor no ha pagado nada. _x000a_Posteriormente dieron Incidente de desacato de medida de protección #551D2024 del niño Comisaria 1 engativa 17-11-2024 RUG #1004 del 2024, ahí dieron  cuidado y tenencia provisional a abuelos paternos, que viven en la misma casa del agresor.  Este incidente de desacato es en contra de la madre._x000a_Desde septiembre 2024 no conviven como pareja, y la ultima agresión en que la empujó del carro fue el 28-10-24 a lo cual asegura que el 23-11-2024 le dieron Incidente de desacato medida de protección #9732021 RUG #7242021 Comisaria 10 engativa 1 proceso por VIF._x000a_Ante lo anterior se identifican barreras, se le indicó que el 7-12-24  a las 16:00 se le hará seguimiento para indicarle si ella o Salvia hará el siguiente paso (podría ser dupla de genero o mecanismo articulador, estas entidades no se le informaron a la sobreviviente)_x000a_RUTA indicada:_x000a_Pendiente por confirmar. _x000a_"/>
                <x14:filter val="5-12-24 20:30 Lina MArcela. Gun transfiere. . En tamizaje la sobreviviente refirió: tiene un proceso en comisaria, pero no tiene los documentos a la mano y desconoce posible fecha o comisaria. Señala que tiene nuevos hechos de agresiones pero nunca se ha acercado a la comisaria a poner la novedad, ademas refiere que no desea verlo nisiquiera en las visitas del hijo._x000a_Ruta indicada:_x000a_1._x0009_Comisaria para poner la novedad, incumplimiento de medida, no confrontacion, para los casos que no prescriben en tiempo._x000a_2._x0009_En icbf solicitar no ser confrontada_x000a_Informó que activaría la ruta el 13-12-24 y solicitpo seguimiento el mismo dia a las 20:00_x000a_"/>
                <x14:filter val="8-11-24 Lina Marcela  envió 3 oficios a Milena para seguimiento a barreras_x000a_- 1 para comisaria Tulua_x000a_- 1  para Fiscalia Tulua_x000a_- 1 fiscalia para puerto lopez, con 2 noticias criminales"/>
                <x14:filter val="9-11 Lina Marcela la usuaria refiere no tener tiempo disponible al momento de la llamada, solicita se le regrese la llamada alas 4PM EL DIA  9/11/2024 o el lunes en horas de la mañana                                                                                     _x000a_Luis Mancera 09/11/2021 siendo las 17:18 Mariana Ortiz Soto con el fin de saber como se encuentra y aplicar valoración de riesgo, pero llamada es direccionada a buzo de voz_x000a_11-11 Lina MArcela: Devolución de llamada para tamizaje del equipo de riesgo, pero la llamada se fue a buzón de voz                                           14-11. Paola Andrea Mosquera : Devolucion de la llamada para tamizaje, pero no contesta las llamadas._x000a_15-11-2024 15:00 (Jeimy Antonio) se realiza llamada para tamizaje en dos oportunidades, no hay respuesta._x000a_16/11/2024 9:25 am. Ximena Suárez. Se realizan dos llamados, pero no se contesta.                                                                                                                                                               18/11/2024 3:30 p.m. Nimia Mena - El día de hoy con el objetivo de realizar Tamizaje del caso se establece comunicación con la señora Mariana Ortiz Soto identificada con Cédula de Ciudadanía 1045434096, se intenta establecer comunicación en el numero de celular 3026484512, sin embargo, no responde._x000a_19-11 a las 7:59 am Lina Marcela realizó tamizaje, la sobreviviente reportó: &quot;la violencia no es física, es mas de comentarios, malos tratos... hace unos años él si me pegó... pero yo he sabido llevar la situación...&quot; &quot;en público él es una persona tranquila,&quot;. Ella asegura que tiene interés en denunciar pero asegura que en el momento no está en disposición , no se puede permitir (hay dependencias que no  verbalizó, la mas evidente fue economica), refiere que su prioridad es encontrar empleo unas citas médicas y unos temas personales (que no refiere).  Se sensibiliza sobre la VBG, la ley 1257, se informa que ante las dificultades economicas o asociadas con los impactos de salud mental la ley y las entidades la regulan, se le informa sobre el tema de las custodias y cuotas alimentarias. La mujer manifiesta su desinterés por la ruta, enfatiza en su empleo y en temas personales, de igual manera se le indican las siguientes rutas:_x000a_1. comisaria: por medidas de protección (incluso si continuan conviviendo) custodia, cuotas alimentarias, el agresor debe pagar la atención psicosocial requerida por la victima._x000a_2. PONAL:  posibilidad de denunciar el caso a nivel interno, para que al agresor le hagan proceso disciplinario._x000a_3. casa de igualdad de oportunidades mujer suba: se le da la dirección y telefonos se le motiva a acercarse para preguntar sobre servicios, incluyendo temas laborales._x000a_4. se le indica la línea púrpura, _x000a_NOTA durante la llamada, la mujer hablaba de manera pausada y aletargada._x000a_Solicita seguimiento 25-11 a las 10 am"/>
                <x14:filter val="9-11-2024 Lina Marcela contacta a la prima ya que no se cuenta con el contacto de la víctima, refiere que su prima está muy cambiada y desanimada y está apatica a hablar del tema, pero que mañana se encontrarán y buscarán hablar, se le ofertó la posibilidad de llamarla para entrar a hacer sensibilización (como primer inicio debido a la apatia que refiere) sobre el reconocimiento de la VBG y el reconocimiento de las rutas de atención, Solicita ser contactada 10-11-24 a las 7:30 pm con la posibilidad de en ese omento hablar directamente con la víctima._x000a_14-11-2024 Lina MArcela: Devolución de llamada para tamizaje del equipo de riesgo, pero la llamada se fue a buzón de voz._x0009_se contacta igual con contacto de emergencia y la situación es la misma._x000a_14-11-2024 Jeimy Antonio, se realiza marcación en tres oportunidades al número Salvia. Los dos números que están registrados para la víctima y el contacto, son los mismo, por lo cual no hay número alterno. Este caso debería haber entrado por reporte  ya que no hay datos de la victima. _x000a_15/11/2024 8:25 AM Ximena Suárez Se realizan 2 llamados, pero no se contesta._x000a_16/11/2024 17:54 (Jeimy Antonio) Marcación dos veces sin respuesta. _x000a_19/11/20248:35 am  Ximena Suárez. La prima de la presunta víctima no contesta y no se logró contactar."/>
                <x14:filter val="Al momento de transferir llamada, la persona no puede continuar con el contacto por lo cual se concerta contacto para el 21 de noviembre de 10 a 11 am_x000a_21/11/2024 15:00  Jeimy Antonio Se realiza dos marcaciones con el objetivo de realizar tamizaje, pero no hay respueta. _x000a_22/11/2024. Ximena Suárez.  Se realizan dos llamados para realizar el proceso de tamizaje pero se envía a correo de voz, posiblemente no puede contactar.  LLAMAR HOY 22/11/2024 EN LA TARDE._x000a_22/11/2024 14:27 Jeimy Antonio Se realiza devolución de llamada para realizar tamizaje, la señora responde y solicita que la llamen de nuevo a las 19:00 horas. _x000a_27-11-2024 entre 15:06 y 15:09 Lina MArcela 4 intentos de llamada para tamizaje, todas a buzón de voz, a las 15:13 se llama a persona de confianza, con ella se acuerda devolverle la llamada mañana 28-11-24 a las 8:00 para confirmar lo que pudo hablar con la sobreviviente sobre dia y hora que espera la llamada de 155, con las debidas condiciones apropiadas para recibir llamada"/>
                <x14:filter val="La madre fue quien contactó, la hija esta en el hospital y ya se cuenta con el permiso de la madre para llamaar a la hija y hablar sobre la ley 1257, y orientar, solicita que NO se le cuente nada mas a la hija sobre su llamada a la linea 155, el numero de telefono de la hija es 3115256225 Sharick Gabriela Ruiz, en tamizaje coloque el dato en la misma fila pero se debe hacer al momento de recontactar a las 2:30 pm de 8-11-24_x000a_9-11-2024 Lina MArcela hace tamizaje, refiere que desde nov 2023 ha intentado convivir con su pareja pero terminan y vuelven reiteradamente, terminan por peleas con agresiones fisicas, control excesivo, celotipia. ayer 8-11 tuvieron la ultima pelea refirió que la  pateó en brazos  piernas y tronco, ayer se le informó a la madre la ruta por fiscalia o comisaria como interpuesta persona y hoy refirio la hija que fueron a fiscalia pero ella se abstuvo de poner denuncia por no iniciar proceso penal, pero si está interesada en iniciar proceso por comisaria para sentar precedente por si le pasa algo.  refiere que por la agresion de ayer ella se lastimo tres dedos y por eso soliicto atencion medica y le pusieron puntos en uno de los dedos, pero refiere que en el hospital no refirió que esa herida estaba relacionada con la pelea con su pareja y las maguyaduras adicionales no son visibles, se le orienttó a llamar a una llamada de vida se le orientaron los horarios y se le informó el horario de comisaria permanente de kennedy, solicitó ser recontactada 10-11 entre las 7 am y 6 pm para hacer seguimiento"/>
                <x14:filter val="Luis Mancera 03/11/2024 12:45, Se realiza transferencia de caso de la señora Rosa Linda Deantonio Velasquez, para realizar tamizaje de riesgo, pero mientras se realiza lectura de caso usuaria finaliza llamada, por lo cual se procederá con el re contacto                                                                                                                                                                 Luis Mancera 03/11/2024 12:53, se realiza re contacto con realizar tamizaje de riesgo a la señora Rosa Linda, pero la llamada es direcciona al buzo de voz_x000a_3-12-2024 entre 18:35 y 18:40 Lina Marcela 3 intentos para tamizaje, no tiene contacto seguro, se va a buzón."/>
                <x14:filter val="Luis Mancera 15 de noviembre de 2025 siendo las 14:32, 15:44 y 17: 28 se realiza contacto con la señora Leydi Yulieth Ortega Morales al teléfono 3105197072 con el fin de realizar como se encuentra y realizar valoración de riesgo, pero la llamada es direccionada a buzón de voz. Luis Mancera_x000a_16-11 Lina Marcela llama a sobreviviente  pero se va a buzón, contacta a persona de seguridad, con quien se hacen acuerdos para a traves de ella lograr el contacto directo con la sobrevieinte, se acordó hoy regresar la llamada al contacto de seguridad para confirmar fecha y horario en que la sobreviviente se agendé para recibir llamada, hoy seguimiento a las 12:00 m_x000a_16-11 Lina Marcela retoma el contacto con la persona de confianza, quien le confirma que llamará a la sobreviviente para que de inmediato se acerque a su vivienda y pueda recibir la llamada, se acuerda volver a llamar a las 12:30 para dar el tiempo que la sobreivivente llegue al lugar seguro y llamar para hacer el tamizaje._x000a_16-11 Lina Marcela: Tamizaje, se contactó por medio del contacto de la perspnona de confianza, la sobrevieiente refiere: ex pareja, ayer la &quot;estrujó le enterró las uñas, tiene rasguño y moretones&quot; el grupo 1 la refirió a la comisaria, tienen una hija en comun de 5 años, negocio en comun pero violencia economica, se le informó que hay entidades gubernamentales que entran a regular custodias y reparticion de bienes cuando ello se configura como reto o caldo de cultivo para la VBG. En el tamizaje refirió que no pudo ir a comisaria porque pensó que si iva con la niña no la atenderían, se le informó que ir con la niña no es barrera,  hoy finde semana ya probablemente la comisaria no este abierta(se busco en directorio e internet pero no registra como permanete), se le informó que hoy mismo podría iniciar por ESE o Fiscalía (en el municipio no hay Fiscalia), entonces la RUTA que se acordó:_x000a_1. acercarse a la inspeccion de PONAL a poner el denuncio, alllí solicitar medidas de protección y valoracion por INMLCF, o quien haga su rol para valorar las heridas._x000a_2. Verificar que le den remision a Salud para valoracion de heridas._x000a_Solicitó seguimiento hoy a las 2:30 pm"/>
                <x14:filter val="Luis Mancera 15/11/2024  siendo las 15:59  y 17:00 se realiza contacto con la Señora Rosalba Silva Gómez al número de teléfono 3115594365, con el fin de verificar como se encuentra y realizar tamizaje de riesgo, pero llamada es direccionada a buzo de voz. _x000a_16-11 Lina Marcela: Devolución de llamada para tamizaje de riesgo, la llamada cae a buzón de voz. Incluido el contacto de la persona de confianza_x000a_Luis Mancera 16/11/2024 1723 se realiza contacto al número 3115594365 con la señora Rosalba Silva con el fin de conocer cómo se encuentra y realizar tamizaje de riesgo, pero llamada es direccionada a buzo de voz _x000a_18-11 siendo las 7:40 am Lina Marcela llama 2 veces, en la 2° la sobreviviente contesta señalando que en ese justo momento se encuentra en la comisaria, se le informa que se le llama de la linea 155 Salvia, y se acuerda devolver la llamada sobre las 9:40 am hoy mismo. Siendo las 10:15 se contacta a la sobreviviente, se hace el tamizaje y refiere: estan en un proceso de división de bienes, lo empezaron por conciliación pero en el proceso, el sr se molestó y la amenazó. en la primer llamada del grupo 1 155 le indicaron que debía dirigirse a comisaria, hoy en la comisaria 3 de suba le dieron citación a ambos para el 28-11 a las 11:00 am, para poner una caución. Se le indican las estrategias de autoprotección y reportar novedades a la comisaria. Solicita seguimientos cualquier día de la semana despues de las 18:00"/>
                <x14:filter val="Luis Mancera 15/11/2024 siendo las 17:11 y 17:55 se realiza contacto al número 3105132975 con la señora Diana Medina con el fin de conocer como se encuentra y realizar tamizaje de riesgo, pero llamada es direccionada a buzo de voz _x000a_16-11 Lina Marcela: Devolución de llamada para tamizaje de riesgo, la llamada cae a buzón de voz._x000a_Incluido el contacto de la persona de confianza_x000a_Luis Mancera 16/11/2024 siendo las 14:57 se realiza contacto al número 3105132975 con la señora Diana Medina con el fin de conocer cómo se encuentra y realizar tamizaje de riesgo, pero llamada es direccionada a buzo de voz._x000a_Jeimy Antonio 16/11/2024 15:15  me comunico con la señora Diana, se realiza tamizaje, , indica que el día de ayer el agresor  la insultó por teléfono. Ella cree que siente dependencia emocional y lo que quiere es una ayuda psicológica, para que no la lastime mas. Se informa iniciar ruta por Comisaría de Familia, adicionalmente se informa que allío le daran remisión para atención de profesionales o que puede solicitar la cita por la Nueva EPS, ella menciona que irá el lunes. Se sensibiliza sobre las acciones que debe realizar una vez identificada la VBG de la cual ella es victima. Se informa seguimiento y acepta el mismo"/>
                <x14:filter val="Luis Mancera. 16/11/2024 15 05 se realiza llamada a la señora Erika Dayana Cespedes realizando llamada al número 3053087594, logrando contacto con la usuaria a quien se le informa el motivo de seguimiento por parte del profesional de la Línea 155 Salvia, indica que en el momento no puede atender la llamada y pide ser contactada después de las 6 pm                                                                                                                                                                                                                                                     Luis Mancera. 16/11/2024 18 01 se realiza llamada a la señora Erika Dayana Cespedes realizando llamada al número 3053087594, pero llamada es direccionada a buzo de voz                                                                                                                                                                                                                                                                                   Luis Mancera: 18/11/2024, 15:43 y 1745 se realiza contacto con la señora Erika Dayana Cespedes al numero de celular 3053087594, con el fin con se encuentra y realizar valora de riesgo, pero llamada es direccionada a buzo de voz                                                                                                                                                                                               Luis Mancera: 19/11/2024, 15:33  se realiza contacto con la señora Erika Dayana Cespedes al número de celular 3053087594, con el fin con se encuentra y realizar valora de riesgo, pero llamada es direccionada a buzo de voz                                                                                                                                                                                                           Luis Mancera: 19/11/2024, 15:34 se realiza contacto con la señora Eimar Cespedes quien reposa como persona de contacto de la señora Erika Cespedes y refiere” Hoy hable con ella, está en la casa. Normal no ha pasado nada. Ella no ha ido ha comisaria No señor porque ella a luz. Yo hable con ella y dice que no lo puede hacer en estos momentos. Se le pide informarle que se le estará llamando a la señora Erika de 3 a 6 pm para que este pendiente de la llamada. En caso de alguna situación de riesgo llamar al 123 para solicitar apoyo a policía o comunicarse a la línea 122 de la Fiscalía para reportar un hecho de violencia. _x000a_28/11/2024 16:50 Jeimy Antonio, se realizan tres marcaciones, no hay respuesta.                                                                                                                                                  2/12/2024 (Paola Mosquera) se realizan tres llamadas a la usuria 3:50 pm, pero todas se va para buzon de voz._x000a_4-12-2024 entre 18:45 y 18:48 Lina Marcela 3 intentos para tamizaje, En tamizaje la sobreviviente refirió: convive con su pareja que es el agresor y el padre de sus 2 hijos, refiere que la VBG ha cesado y no ve oportuno activar la ruta, se le sensibiliza sobre las VBG y los riesgos de escalamiento, sin embargo ella sostiene que no activará la ruta._x000a_No se indicó ruta. Hacer seguimiento para verificación de avances._x000a_"/>
                <x14:filter val="Nimia Mena   El día de hoy con el objetivo de realizar Tamizaje del caso se establece comunicación para tamizaje con la señora Blanca Patricia Gómez Montaña identificada con Cedula de Ciudadanía No. 52853394, en el número de 3124015645, la usuaria refiere: “él se fue la casa hace media hora, empezó a decirme que iba a llamar la policía y a la fiscalía y se fue, se le informa que se deben hacer unas preguntas para continuar con el seguimiento y acompañamiento del caso, informa que en el momento puede responder, sin embargo, se cae la llamada, se intenta en varias oportunidades, no obstante, el abonado se va directo al buzón de voz.   7:15 p.m. Se intenta nuevamente, realizar Tamizaje, sin embargo, la usuaria no responde. Nimia Mena_x000a_18-11 a las 8:57 am Lina Marcela : Devolución de llamada para tamizaje del equipo de riesgo, pero la llamada se fue a buzón de voz. A las 9:02 am contacta a la persona de confianza debido a que en Salvia reporta que el agresor le prohibe contestar llamadas, la madre de la sobreviviente menciona conocimiento de la situación, con ella se acuerda que mediante el contacto de confianza se acordará un dia y horario que la sobreviviente solicite para hacer el recontacto, se debe devolver llamada hoy a las 10:00 am, se retoma contacto a las 11:00 am, en tamizaje la sobreviviente señala que el señor tiene 1 antecedente de agredir con un destornillador a otra persona (no a ella), en contra de ella directamente tiene antecedentes  hace 15 años la agredió y le generó 20 dias de incapacidad por INMLCF, hace 3 años por comisaria por violencia psicologica y economica que se repite en la actualidad, aseguró que en ese tiempo la pusieron a conciliar y el agresor la convenció que el cambiaría. En la actualidad la usuaria no está segura ni animada a denunciar, se le informa sobre el posible escalamiento de la violencia y los riesgos que ello implica. La ruta acordada es:_x000a_1. comisaria de familia: se le informa que tiene el derecho a no ser confrontada con el agresor, y aquí mismo pueden revisar lo de custodias, cuotas alimentarias y demas._x000a_Se le informa que desde Salvia estaremos haciendo seguimiento, solicitó seguimiento  para el 19-11 en horas de la tarde."/>
                <x14:filter val="NO LLAMAR, NO LLAMAR, NO LLAMAR_x000a__x000a_07/nov/2024 Christian Aguilar no se puede realizar tamizaje ya que no contesta el llamado realizado en dos oportunidades . se debe  realizar esta llamada en la hora de la mañana , ya que vive con el agresor. _x000a_9-11 Lina Marcela, la usuaria solicita que se le llame nuevamente hoy a las 5:pm   _x000a_  09/11/2024  16:20 y 1727 Luis Mancera Se realiza primera llamada a la señora Sandra Milena Diaz pero la llamada es direccionada al buzón de voz    _x000a_11-11 Lina Marcela: Devolución de llamada para tamizaje del equipo de riesgo, pero la llamada se fue a buzón de voz._x000a_14-11 Lina Marcela: Devolución de llamada para tamizaje del equipo de riesgo, pero la llamada se fue a buzón de voz. se contactó a persona de confianza quien señala que hay un precedente hace aproximadamentte 7 años, le dieron orden de alejamiento, refiere que recientemente no ha podido interponer la denuncia debido a que comisaria tiene turnos y ella no ha alcanzado a cogerlos, refiere que mañana ella se esta agendando para ir a coger turno en comisaria de familia para la denuncia y organizar visitas y cuota de alimentos, pero que anteriormente ella ha negado las violencias fisicas. Refiere que recientemente el hombre se fue de su casa, se le orienta sobre autorpotección entre ellos cambio de chapa, refiere que NO se debe contactar al victimario, la llamada se cae y no es posible recontactar, pero alcanzó a solicitar que sobre las 4 pm hoy mismo se le debe devolver llamada a la sobreviviente para seguimiento al 3202791236_x000a__x000a_14/11/2024 20:20 horas (Jeimy Antonio) Se realiza llamada de seguimiento sin exito. Se debe intentar recontacto mañana 15/11 en la mañana_x000a_15/11/2024 10:18 am  Ximena Suárez Se realiza el llamado para realizar el debido seguimiento, y al no contestar la víctima, se llama al contacto relacionado en la plataforma, el señor Germán Suárez, sin identificarme, pero preguntando sí conocía a la señora Diaz, y él indica que, si la conoce, y me pregunta que sí somos de “la línea 104”, porque él, sin esperar la respuesta, habló el día de ayer con Diana y ella le refirió que alguien dela línea había llamado “al señor” (al agresor) y esto la había puesto en riesgo. Así, así las cosas, que iba a hacer las cosas por ella misma y no contestaría más. Se reitero la disculpa del equipo y se indicó que recordará que estábamos para servirles, y é colgó."/>
                <x14:filter val="No se le ha realizado tamizaje, 08/11/2024 (Sandra Briceño) Se realizan 2 llamadas de verificación para tamizaje, pero no responden. Se realiza indagación de servicios en el municipio de Cajicá encontrando la línea de atención a mujeres víctimas de violencia de género de la Secretaria de Desarrollo Social de la alcaldía, atienden de lunes a sábado de 7:30 am a 5:30 pm en el número 3184317034.                                                                                                                                                                                                                                                                                                                                                                                 _x000a_09/11/2024 15:55 (jeimy Antonio) se realiza llamada con el fin de poder aplicar tamizaje, celular apagado. _x000a_10-11 Lina Marcela: Devolución de llamada para tamizaje del equipo de riesgo, pero la llamada se fue a buzón de voz._x000a_10/11/2024  18:30  (Sandra Briceño) Se realiza llamada con el fin de poder aplicar tamizaje, celular apagado.                                                                                                                                                                                                                                                                                                                                                                                           14-11 PAOLA ANDRTEA MOSQUERA,  busca los datos en mi salvia, pero no estra registrada, por lo tanto no se puede llamar._x000a_14/11/2024 Jeimy Antonio 16:20 Se realiza marcación a la señora Leidy, menciona que ya la habían llamado y que se debe recontactar a las 18:00 horas por parte del área de seguimiento general, para posteriormente validar si se pasa al Equipo de Riesgo de Violencia. Profesional seguimiento Kimberly Tovar _x000a_15-11-2024 (Jeimy Antonio) Kimberly no se ha podido comunicar con la señora. Pendiente el contacto._x000a_19/11/2024 Ximena Suárez. La prima de la presunta víctima no contesta y no se logró contactar.                                                                                                                   05/12/2024 (SANDRA BRICEÑO) CASO HABIA SIDO REMITIDO AL  EQUIPO 1 ERA UN REPORTE POR TERCERO - ACTUALEMNTE ESTA EN SALVIA PERO NO FUE REMITIDO A RIESGO FEMINIDA"/>
                <x14:filter val="PENDIENTE PARA TAMIZAJE . Llama Estefanía, con número de documento 1017214445, La mujer llama nuevamente para informar sobre el avance en su proceso de denuncia. Comenta que el día anterior llamó a la línea de atención y, en la asesoría, le indicaron la ruta a seguir. Explica que en la comisaría le otorgaron medidas provisionales de protección y que radicó el acto policivo en la estación de policía. También solicitó en la comisaría el desalojo de su excompañero del hogar. Estefanía relata: “Él no se quiere ir de la casa y me dice que la que se tiene que ir soy yo. Me insulta muy feo frente a mis hijos. Mi hija de 12 años, que no es hija de él, está muy asustada. De verdad temo que nos haga algo, o que, por venganza o rabia, se desquite con mi hija. Es que él es como loco, además toma mucho alcohol y no le importa estar borracho dentro de la casa con los niños. El comisario me dijo que no es tan fácil dar una orden de desalojo. También estuve en fiscalía ayer, y en conclusión dijeron que mi caso era agravado, pero no me dieron orden de Medicina Legal porque no tengo marcas en mi cuerpo”._x000a_Se le pregunta por la opción de casa refugio, y menciona: “No quiero casa refugio, NO quiero someter a mis hijos a más abusos. No merecen salir de su casa; ya han sido testigos de todo el maltrato que me causa su papá, para que sigan sufriendo el salir de su casa. Pienso que eso no es justo, aunque en comisaría de familia sí me dijeron que podía escoger esa opción”._x000a_Se le sugiere solicitar una copia de las minutas del CAI de la policía como evidencia de las intervenciones, lo cual será útil en la comisaría y en la fiscalía. También, aunque la audiencia para resolver la medida de protección será en marzo de 2025, sería ideal tomar medidas de autocuidado, como pasar un tiempo en otro lugar durante tus vacaciones si es posible. Además, mantén a mano los números de emergencia de la policía y el contacto de apoyo de tu amiga Jesica Pamplona._x000a_Finalmente, se le sugiere insistir en la solicitud de desalojo y evaluar pedir una cuota de alimentos para tus hijos. Sabemos que este proceso puede parecer largo, pero cada paso fortalece la protección de ella y los niños._x000a__x000a_11-11 Lina Marcela :  Devolución de llamada para tamizaje del equipo de riesgo, pero la llamada se fue a buzón de voz. incluido el contacto seguro.   _x000a_ 11/11/2024 4:40pm Christian Aguilar no contesta me envia a buzón de vos._x000a_14-11 Lina Marcela: Devolución de llamada para tamizaje del equipo de riesgo, pero la llamada se fue a buzón de voz incluido el contacto seguro_x000a_15-11 Lina Marcela: Devolución de llamada para tamizaje del equipo de riesgo, pero la llamada se fue a buzón de voz, se llamó a contacto seguro, es la hija de 12 años, se indagó con ella a qué hora se le puede contactar para hablar directamente con la sobreviviente, ella solicitó hoy a las 8 pm. se le recomendó que a esa hora se ubiquen en un lugar seguro donde puedan hablar o que al recibir la llamada informe sobre la presencia del agresor. al número que se acordó llamar es 3107427194         _x000a_  LLuis Mancera. 15/11/2024. Siendo las 20:05, se realiza contacto con la señora Estefanía Parias García al número 3044864936, con el fin de conocer el estado de usuaria y realizar tamizaje de riesgo, pero la llamada es direccionada a buzón de voz              _x000a_ Luis Mancera. 16/11/2024. Siendo las 17:01, se realiza contacto con la señora Estefanía Parias García al número 3044864936, con el fin de conocer el estado de usuaria y realizar tamizaje de riesgo, pero la llamada es direccionada a buzón de voz                                                                                                                                                                                                                                                                                                                                                Luis Mancera: 18/11/2024, 17:50 Se realiza llamada a la señora María Ángel Hoyos persona de contacto de la señora Estefanía Parias García, marcando al número de celular 3107427194 con el fin con se encuentra y realizar valora de riesgo, pero llamada es direccionada a buzo de voz"/>
              </mc:Choice>
              <mc:Fallback>
                <x:filter val="8-11-24 Lina Marcela  envió 3 oficios a Milena para seguimiento a barreras_x000a_- 1 para comisaria Tulua_x000a_- 1  para Fiscalia Tulua_x000a_- 1 fiscalia para puerto lopez, con 2 noticias criminales"/>
              </mc:Fallback>
            </mc:AlternateContent>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D8EC0B08-62D6-49F2-91C9-CE81BBA7E7BE}">
    <nsvFilter filterId="{8F4312BE-3D2A-417C-8385-265BA9A9ECC1}" ref="A1:CP2" tableId="28">
      <columnFilter colId="10" id="{59DFBDE3-3ECA-486B-90AB-7EDF3E45AD88}">
        <filter colId="10">
          <x:filters>
            <x:filter val="Primer seguimiento pendiente"/>
          </x:filters>
        </filter>
      </columnFilter>
      <sortRules>
        <sortRule colId="0" id="{E55FB35A-B002-4F06-A20D-A463BF841CC0}">
          <sortCondition ref="A1:A2"/>
        </sortRule>
      </sortRules>
    </nsvFilter>
  </namedSheetView>
  <namedSheetView name="Ver2" id="{A3D1189C-5EB3-4896-9384-72ED67ECE697}">
    <nsvFilter filterId="{8F4312BE-3D2A-417C-8385-265BA9A9ECC1}" ref="A1:CP2" tableId="28">
      <columnFilter colId="9" id="{F16452F7-B89F-4709-8360-0FEBB1B7371B}">
        <filter colId="9">
          <x:filters>
            <x:filter val="Al dia"/>
          </x:filters>
        </filter>
      </columnFilter>
      <columnFilter colId="10" id="{59DFBDE3-3ECA-486B-90AB-7EDF3E45AD88}">
        <filter colId="10">
          <x:filters>
            <x:filter val="Primer seguimiento pendiente"/>
          </x:filters>
        </filter>
      </columnFilter>
      <sortRules>
        <sortRule colId="0" id="{E55FB35A-B002-4F06-A20D-A463BF841CC0}">
          <sortCondition ref="A1:A2"/>
        </sortRule>
      </sortRules>
    </nsvFilter>
  </namedSheetView>
  <namedSheetView name="Ver3" id="{DB3BD1B5-E175-454F-BFDE-6833BB905E28}">
    <nsvFilter filterId="{8F4312BE-3D2A-417C-8385-265BA9A9ECC1}" ref="A1:CP2" tableId="28">
      <columnFilter colId="9" id="{F16452F7-B89F-4709-8360-0FEBB1B7371B}">
        <filter colId="9">
          <x:filters>
            <x:filter val="Al dia"/>
          </x:filters>
        </filter>
      </columnFilter>
      <sortRules>
        <sortRule colId="0" id="{E55FB35A-B002-4F06-A20D-A463BF841CC0}">
          <sortCondition ref="A1:A2"/>
        </sortRule>
      </sortRules>
    </nsvFilter>
  </namedSheetView>
  <namedSheetView name="Ver4" id="{CB80091A-B12E-4097-96DA-4171D298C1BC}">
    <nsvFilter filterId="{8F4312BE-3D2A-417C-8385-265BA9A9ECC1}" ref="A1:CP2" tableId="28">
      <columnFilter colId="9" id="{F16452F7-B89F-4709-8360-0FEBB1B7371B}">
        <filter colId="9">
          <x:filters>
            <x:filter val="Al dia"/>
          </x:filters>
        </filter>
      </columnFilter>
      <sortRules>
        <sortRule colId="0" id="{E55FB35A-B002-4F06-A20D-A463BF841CC0}">
          <sortCondition ref="A1:A2"/>
        </sortRule>
      </sortRules>
    </nsvFilter>
  </namedSheetView>
  <namedSheetView name="Ver5" id="{FE676E35-9123-4861-8C41-3D2D55C94424}">
    <nsvFilter filterId="{8F4312BE-3D2A-417C-8385-265BA9A9ECC1}" ref="A1:CP2" tableId="28">
      <columnFilter colId="9" id="{F16452F7-B89F-4709-8360-0FEBB1B7371B}">
        <filter colId="9">
          <x:filters>
            <x:filter val="Al dia"/>
          </x:filters>
        </filter>
      </columnFilter>
      <sortRules>
        <sortRule colId="0" id="{E55FB35A-B002-4F06-A20D-A463BF841CC0}">
          <sortCondition ref="A1:A2"/>
        </sortRule>
      </sortRules>
    </nsvFilter>
  </namedSheetView>
  <namedSheetView name="Ver6" id="{B6810B16-CFA0-4DB3-A26B-5B517EFD987C}">
    <nsvFilter filterId="{8F4312BE-3D2A-417C-8385-265BA9A9ECC1}" ref="A1:CP2" tableId="28">
      <columnFilter colId="9" id="{F16452F7-B89F-4709-8360-0FEBB1B7371B}">
        <filter colId="9">
          <x:filters>
            <x:filter val="Al dia"/>
          </x:filters>
        </filter>
      </columnFilter>
      <sortRules>
        <sortRule colId="0" id="{E55FB35A-B002-4F06-A20D-A463BF841CC0}">
          <sortCondition ref="A1:A2"/>
        </sortRule>
      </sortRules>
    </nsvFilter>
  </namedSheetView>
  <namedSheetView name="Ver7" id="{9CDB3312-DE77-4049-B812-7059253BAF82}">
    <nsvFilter filterId="{8F4312BE-3D2A-417C-8385-265BA9A9ECC1}" ref="A1:CP2" tableId="28">
      <columnFilter colId="10" id="{59DFBDE3-3ECA-486B-90AB-7EDF3E45AD88}">
        <filter colId="10">
          <x:filters>
            <x:filter val="Segundo seguimiento pendiente"/>
          </x:filters>
        </filter>
      </columnFilter>
      <sortRules>
        <sortRule colId="0" id="{E55FB35A-B002-4F06-A20D-A463BF841CC0}">
          <sortCondition ref="A1:A2"/>
        </sortRule>
      </sortRules>
    </nsvFilter>
  </namedSheetView>
  <namedSheetView name="Ver8" id="{F529C5DB-9FE3-4195-BF26-1E6114CC3193}">
    <nsvFilter filterId="{8F4312BE-3D2A-417C-8385-265BA9A9ECC1}" ref="A1:CP2" tableId="28">
      <sortRules>
        <sortRule colId="0" id="{E55FB35A-B002-4F06-A20D-A463BF841CC0}">
          <sortCondition ref="A1:A2"/>
        </sortRule>
      </sortRules>
    </nsvFilter>
  </namedSheetView>
  <namedSheetView name="Ver9" id="{B7A8FFA1-D94A-4C7C-9D9E-6383F6C189D4}">
    <nsvFilter filterId="{8F4312BE-3D2A-417C-8385-265BA9A9ECC1}" ref="A1:CP2" tableId="28">
      <columnFilter colId="10" id="{59DFBDE3-3ECA-486B-90AB-7EDF3E45AD88}">
        <filter colId="10">
          <x:filters>
            <x:filter val="Segundo seguimiento pendiente"/>
          </x:filters>
        </filter>
      </columnFilter>
      <sortRules>
        <sortRule colId="0" id="{E55FB35A-B002-4F06-A20D-A463BF841CC0}">
          <sortCondition ref="A1:A2"/>
        </sortRule>
      </sortRules>
    </nsvFilter>
  </namedSheetView>
  <namedSheetView name="Ver10" id="{FC249657-A0F1-4770-A9C6-98FF5C66EB20}">
    <nsvFilter filterId="{8F4312BE-3D2A-417C-8385-265BA9A9ECC1}" ref="A1:CP2" tableId="28">
      <sortRules>
        <sortRule colId="0" id="{E55FB35A-B002-4F06-A20D-A463BF841CC0}">
          <sortCondition ref="A1:A2"/>
        </sortRule>
      </sortRules>
    </nsvFilter>
  </namedSheetView>
  <namedSheetView name="Ver11" id="{C2D24EF8-C696-4673-8FAD-0835980B1613}">
    <nsvFilter filterId="{8F4312BE-3D2A-417C-8385-265BA9A9ECC1}" ref="A1:CP2" tableId="28">
      <columnFilter colId="2" id="{66F0CBEE-5A6E-4744-AB37-EAB7A5D7E534}">
        <filter colId="2">
          <x:filters>
            <x:filter val="1048283856"/>
          </x:filters>
        </filter>
      </columnFilter>
      <sortRules>
        <sortRule colId="0" id="{E55FB35A-B002-4F06-A20D-A463BF841CC0}">
          <sortCondition ref="A1:A2"/>
        </sortRule>
      </sortRules>
    </nsvFilter>
  </namedSheetView>
  <namedSheetView name="Vista Christian Aguilar" id="{C10BF288-96F7-4FFC-9D26-A0B17B6673B0}">
    <nsvFilter filterId="{8F4312BE-3D2A-417C-8385-265BA9A9ECC1}" ref="A1:CP2" tableId="28">
      <columnFilter colId="9" id="{F16452F7-B89F-4709-8360-0FEBB1B7371B}">
        <filter colId="9">
          <x:filters>
            <x:filter val="Prioritario"/>
          </x:filters>
        </filter>
      </columnFilter>
      <sortRules>
        <sortRule colId="0" id="{E55FB35A-B002-4F06-A20D-A463BF841CC0}">
          <sortCondition ref="A1:A2"/>
        </sortRule>
      </sortRules>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A30FE-6408-411C-9676-E202FCEC45A2}" name="Tabla1" displayName="Tabla1" ref="A1:A6" totalsRowShown="0">
  <autoFilter ref="A1:A6" xr:uid="{D53A30FE-6408-411C-9676-E202FCEC45A2}"/>
  <tableColumns count="1">
    <tableColumn id="1" xr3:uid="{BD785AD3-A5CC-48A6-A27B-AD0B2966CCB1}" name="Sect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F52FB2-29B2-4E9B-9338-D49034B7764D}" name="Tabla2" displayName="Tabla2" ref="C1:C4" totalsRowShown="0">
  <autoFilter ref="C1:C4" xr:uid="{13F52FB2-29B2-4E9B-9338-D49034B7764D}"/>
  <tableColumns count="1">
    <tableColumn id="1" xr3:uid="{62576758-4C94-40A8-92EB-41B3C4B07BD8}" name="Ámbito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064DB7-772C-4F2A-8F4B-EEEC801771E0}" name="Tabla4" displayName="Tabla4" ref="E1:E4" totalsRowShown="0">
  <autoFilter ref="E1:E4" xr:uid="{F2064DB7-772C-4F2A-8F4B-EEEC801771E0}"/>
  <tableColumns count="1">
    <tableColumn id="1" xr3:uid="{E622B5E5-F869-458C-9614-B498617601BC}" name="Nivel de riesg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38A904D-118B-4215-A1CE-C60CFC4DB23B}" name="Tabla5" displayName="Tabla5" ref="G1:G11" totalsRowShown="0">
  <autoFilter ref="G1:G11" xr:uid="{038A904D-118B-4215-A1CE-C60CFC4DB23B}"/>
  <tableColumns count="1">
    <tableColumn id="1" xr3:uid="{9056F51A-FA09-49C6-96D7-1D237488E6A4}" name="Tipo document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B88046-A163-4E30-9ED8-948F7CAD3352}" name="Tabla6" displayName="Tabla6" ref="J1:J8" totalsRowShown="0" dataDxfId="231" tableBorderDxfId="230">
  <autoFilter ref="J1:J8" xr:uid="{A4B88046-A163-4E30-9ED8-948F7CAD3352}"/>
  <tableColumns count="1">
    <tableColumn id="1" xr3:uid="{D82614F8-2717-43AD-8FB8-499F5C605775}" name="Barreras_Salud" dataDxfId="22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959BA0-63D8-439B-B249-55F6B0C30D41}" name="Tabla7" displayName="Tabla7" ref="K1:K9" totalsRowShown="0" dataDxfId="228" tableBorderDxfId="227">
  <autoFilter ref="K1:K9" xr:uid="{BB959BA0-63D8-439B-B249-55F6B0C30D41}"/>
  <tableColumns count="1">
    <tableColumn id="1" xr3:uid="{46787634-EA58-4BB8-9E24-2445EF997D41}" name="Barreras_Proteccion_Comisaria" dataDxfId="22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DC598F-43BE-41F8-B9A5-A511CA4A8B29}" name="Tabla8" displayName="Tabla8" ref="L1:L5" totalsRowShown="0" dataDxfId="225" tableBorderDxfId="224">
  <autoFilter ref="L1:L5" xr:uid="{3CDC598F-43BE-41F8-B9A5-A511CA4A8B29}"/>
  <tableColumns count="1">
    <tableColumn id="1" xr3:uid="{3972286E-87A2-402F-B2A2-B4D216C96053}" name="Barreras_Proteccion_Fiscalia" dataDxfId="22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5342C8-7248-4140-977B-F564E2A5F97F}" name="Tabla9" displayName="Tabla9" ref="M1:M3" totalsRowShown="0" dataDxfId="222" tableBorderDxfId="221">
  <autoFilter ref="M1:M3" xr:uid="{AE5342C8-7248-4140-977B-F564E2A5F97F}"/>
  <tableColumns count="1">
    <tableColumn id="1" xr3:uid="{73F2C679-D1E5-4D09-A4FB-69768DD6DBA4}" name="Barreras_proteccion_Juzgado_Garantias" dataDxfId="220"/>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827CA3-F87C-4795-BDC7-9CA7B5F4497A}" name="Tabla10" displayName="Tabla10" ref="N1:N6" totalsRowShown="0" dataDxfId="219" tableBorderDxfId="218">
  <autoFilter ref="N1:N6" xr:uid="{DA827CA3-F87C-4795-BDC7-9CA7B5F4497A}"/>
  <tableColumns count="1">
    <tableColumn id="1" xr3:uid="{0912AD0A-58F7-4008-9293-CC26B912994A}" name="Barreras_proteccion_Policia" dataDxfId="21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9579E5-C5DD-4836-8205-84154F9EE6E7}" name="Tabla11" displayName="Tabla11" ref="O1:O8" totalsRowShown="0" dataDxfId="216" tableBorderDxfId="215">
  <autoFilter ref="O1:O8" xr:uid="{409579E5-C5DD-4836-8205-84154F9EE6E7}"/>
  <tableColumns count="1">
    <tableColumn id="1" xr3:uid="{04C6A084-DCD8-4BF8-87A3-0308C1139DD2}" name="Barreras_proteccion_Juzgado_municipal" dataDxfId="2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E28AFBD-7EE4-43A1-8B8E-D1BA64E5448C}" name="Tabla1114" displayName="Tabla1114" ref="P1:P8" totalsRowShown="0" dataDxfId="213" tableBorderDxfId="212">
  <autoFilter ref="P1:P8" xr:uid="{DE28AFBD-7EE4-43A1-8B8E-D1BA64E5448C}"/>
  <tableColumns count="1">
    <tableColumn id="1" xr3:uid="{BB6BFFC4-1B3B-45D8-8AC8-CB1FA58CE63E}" name="Barreras_proteccion_inspeccion" dataDxfId="21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089145-8C0F-45DA-9145-E8622D3CCD71}" name="Tabla14" displayName="Tabla14" ref="Q1:Q5" totalsRowShown="0" dataDxfId="210" tableBorderDxfId="209">
  <autoFilter ref="Q1:Q5" xr:uid="{C2089145-8C0F-45DA-9145-E8622D3CCD71}"/>
  <tableColumns count="1">
    <tableColumn id="1" xr3:uid="{3678394F-D314-429F-9024-B701525DEC06}" name="Barreras_UNP" dataDxfId="208"/>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A0649D-4F92-4F05-BB8E-6E2E21C691D4}" name="Tabla15" displayName="Tabla15" ref="R1:R7" totalsRowShown="0" dataDxfId="207" tableBorderDxfId="206">
  <autoFilter ref="R1:R7" xr:uid="{81A0649D-4F92-4F05-BB8E-6E2E21C691D4}"/>
  <tableColumns count="1">
    <tableColumn id="1" xr3:uid="{D19D2AE6-8423-4FA1-ABCD-8A2876FC061B}" name="Barreras_Justicia_General" dataDxfId="205"/>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9AB5BEE-8EA5-4F27-9FBE-189CA20CB915}" name="Tabla16" displayName="Tabla16" ref="S1:S6" totalsRowShown="0" dataDxfId="204" tableBorderDxfId="203">
  <autoFilter ref="S1:S6" xr:uid="{A9AB5BEE-8EA5-4F27-9FBE-189CA20CB915}"/>
  <tableColumns count="1">
    <tableColumn id="1" xr3:uid="{8126B4C3-74E4-4151-835D-26B11E84A6BD}" name="Barreras_Justicia_Fiscalia" dataDxfId="20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34C6779-1696-417F-A591-7CF085C9A733}" name="Tabla17" displayName="Tabla17" ref="T1:T6" totalsRowShown="0" dataDxfId="201" tableBorderDxfId="200">
  <autoFilter ref="T1:T6" xr:uid="{D34C6779-1696-417F-A591-7CF085C9A733}"/>
  <tableColumns count="1">
    <tableColumn id="1" xr3:uid="{046F2D62-D730-4F07-8EAA-799CAB66C497}" name="Barreras_Justicia_juzgado" dataDxfId="19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47B046B-FCDC-4013-A173-58166D913E87}" name="Tabla18" displayName="Tabla18" ref="U1:U3" totalsRowShown="0" dataDxfId="198" tableBorderDxfId="197">
  <autoFilter ref="U1:U3" xr:uid="{047B046B-FCDC-4013-A173-58166D913E87}"/>
  <tableColumns count="1">
    <tableColumn id="1" xr3:uid="{B7C85FEF-28C9-4627-A941-F85477B78F3A}" name="Barreras_Justicia_INMLCF" dataDxfId="19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BEEB322-02BA-4463-8B53-36A83C234958}" name="Tabla19" displayName="Tabla19" ref="V1:V5" totalsRowShown="0" dataDxfId="195" tableBorderDxfId="194">
  <autoFilter ref="V1:V5" xr:uid="{7BEEB322-02BA-4463-8B53-36A83C234958}"/>
  <tableColumns count="1">
    <tableColumn id="1" xr3:uid="{397A5158-F1BF-4541-93A6-4EBBEFD2853A}" name="Barreras_Entidad" dataDxfId="193"/>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82EA899-0BD0-4102-A6F5-45F6BB12F8F9}" name="Tabla20" displayName="Tabla20" ref="G14:G16" totalsRowShown="0">
  <autoFilter ref="G14:G16" xr:uid="{B82EA899-0BD0-4102-A6F5-45F6BB12F8F9}"/>
  <tableColumns count="1">
    <tableColumn id="1" xr3:uid="{73083A97-1AEE-4B86-860D-A060AC00B475}" name="A"/>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727ECD6-6352-4BF2-A07E-581ADD03954C}" name="Tabla21" displayName="Tabla21" ref="I14:I16" totalsRowShown="0">
  <autoFilter ref="I14:I16" xr:uid="{E727ECD6-6352-4BF2-A07E-581ADD03954C}"/>
  <tableColumns count="1">
    <tableColumn id="1" xr3:uid="{12E089A2-E189-4C56-A2B0-29DA68934941}" name="B"/>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E6AC872-122F-4253-A367-89A8898F28F4}" name="Tabla22" displayName="Tabla22" ref="K14:K16" totalsRowShown="0">
  <autoFilter ref="K14:K16" xr:uid="{AE6AC872-122F-4253-A367-89A8898F28F4}"/>
  <tableColumns count="1">
    <tableColumn id="1" xr3:uid="{A54EC25D-3771-4717-B5FE-60A20A1237E2}" name="C"/>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17FBFBB-E178-465F-BA96-E2BA6237A25B}" name="Tabla24" displayName="Tabla24" ref="A8:A10" totalsRowShown="0">
  <autoFilter ref="A8:A10" xr:uid="{F17FBFBB-E178-465F-BA96-E2BA6237A25B}"/>
  <tableColumns count="1">
    <tableColumn id="1" xr3:uid="{6980ECAB-E241-4087-B4C3-A49F9E00F363}" name="Atenció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0DEBF1D-7111-48D8-BCF6-78374D93DA03}" name="Tabla26" displayName="Tabla26" ref="Y1:Y15" totalsRowShown="0">
  <autoFilter ref="Y1:Y15" xr:uid="{40DEBF1D-7111-48D8-BCF6-78374D93DA03}"/>
  <tableColumns count="1">
    <tableColumn id="1" xr3:uid="{4B9A9266-5465-418C-B540-D877E5FCE5F9}" name="Sector Barreras"/>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6B37B81-DAD6-4F3C-B7CC-B6B3AC9E4C59}" name="Tabla29" displayName="Tabla29" ref="A12:A14" totalsRowShown="0">
  <autoFilter ref="A12:A14" xr:uid="{E6B37B81-DAD6-4F3C-B7CC-B6B3AC9E4C59}"/>
  <tableColumns count="1">
    <tableColumn id="1" xr3:uid="{4CED1D9D-8ACD-422D-9F45-A54A39027C47}" name="Seguimiento"/>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21F64A7-0CA7-4802-A0D9-57D63BBEF7AC}" name="Tabla30" displayName="Tabla30" ref="AB1:AB54" totalsRowShown="0" dataDxfId="192" tableBorderDxfId="191">
  <autoFilter ref="AB1:AB54" xr:uid="{621F64A7-0CA7-4802-A0D9-57D63BBEF7AC}"/>
  <sortState xmlns:xlrd2="http://schemas.microsoft.com/office/spreadsheetml/2017/richdata2" ref="AB2:AB54">
    <sortCondition ref="AB1:AB54"/>
  </sortState>
  <tableColumns count="1">
    <tableColumn id="1" xr3:uid="{6FB5653C-5F75-4229-B4AB-D800BE972C8C}" name="Profesionales" dataDxfId="19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03EFE4-2F7C-4860-9A7A-ECF793F6C119}" name="Tabla3" displayName="Tabla3" ref="M12:M15" totalsRowShown="0">
  <autoFilter ref="M12:M15" xr:uid="{F003EFE4-2F7C-4860-9A7A-ECF793F6C119}"/>
  <tableColumns count="1">
    <tableColumn id="1" xr3:uid="{C0A7B3DA-CAA2-4FD4-8C1D-4A42CBEBB4D5}" name="Estado"/>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AB254A5-3652-45E8-AEE4-729851EDB2B6}" name="Tabla12" displayName="Tabla12" ref="R13:R14" totalsRowShown="0">
  <autoFilter ref="R13:R14" xr:uid="{FAB254A5-3652-45E8-AEE4-729851EDB2B6}"/>
  <tableColumns count="1">
    <tableColumn id="1" xr3:uid="{09B4F6C3-FFCB-4FFC-956A-6C1087F415BB}" name="Traslado"/>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CE89301-09C4-4827-B631-CA7C20D7001E}" name="Tabla25" displayName="Tabla25" ref="A1:AM2" totalsRowShown="0" headerRowDxfId="189" dataDxfId="187" headerRowBorderDxfId="188" tableBorderDxfId="186" totalsRowBorderDxfId="185">
  <autoFilter ref="A1:AM2" xr:uid="{FCE89301-09C4-4827-B631-CA7C20D7001E}"/>
  <tableColumns count="39">
    <tableColumn id="1" xr3:uid="{02CFB394-81BD-48C7-A02A-6CBD69238329}" name="Columna3" dataDxfId="184">
      <calculatedColumnFormula>ROW() - ROW(Tabla25[[#Headers],[Columna3]]) + 1</calculatedColumnFormula>
    </tableColumn>
    <tableColumn id="2" xr3:uid="{59B4967A-FC9D-460C-B6AB-DE3E071BFC4D}" name="Tipo ID" dataDxfId="183"/>
    <tableColumn id="3" xr3:uid="{1B8A9F75-2A65-4B23-A333-2C00FAB6CBDF}" name="Numero ID" dataDxfId="182"/>
    <tableColumn id="4" xr3:uid="{8CFE49ED-CF93-429F-A458-1D638D3BC0FA}" name="Nivel Riesgo" dataDxfId="181">
      <calculatedColumnFormula>+IF(Tabla25[[#This Row],[Puntaje]]&gt;5,"Alto",IF(Tabla25[[#This Row],[Puntaje]]&gt;3,"Medio",IF(Tabla25[[#This Row],[Puntaje]]&gt;0,"Bajo",0)))</calculatedColumnFormula>
    </tableColumn>
    <tableColumn id="14" xr3:uid="{2175906C-441E-403B-AEE6-EC0E2CD2A5F9}" name="Puntaje" dataDxfId="180">
      <calculatedColumnFormula>+SUM(Tabla25[[#This Row],[1. Violencia física en presencia de los hijos y otros familiares  ]:[9. Vulnerabilidad de la víctima por razón de enfermedad soledad o dependencia  ]])</calculatedColumnFormula>
    </tableColumn>
    <tableColumn id="5" xr3:uid="{37651F54-DD6D-47C0-99A6-3EE63A6FC029}" name="1. Violencia física en presencia de los hijos y otros familiares  " dataDxfId="179">
      <calculatedColumnFormula>_xlfn.NUMBERVALUE(_xlfn.TEXTBEFORE(Tabla25[[#This Row],[Tipo ID]], "-", 1), ",", ".")</calculatedColumnFormula>
    </tableColumn>
    <tableColumn id="6" xr3:uid="{27B7C64B-6D76-4191-A4CF-DC5F0937C322}" name="2. Aumento de la frecuencia y de la gravedad de los incidentes violentos  " dataDxfId="178"/>
    <tableColumn id="7" xr3:uid="{B666F877-B472-44CB-BA17-9571F2CF0C08}" name="3. Agresión con objetos peligrosos o con armas de cualquier tipo  " dataDxfId="177"/>
    <tableColumn id="8" xr3:uid="{DF640AF5-BA03-48B7-A774-A34DE6248016}" name="4. Celos muy intensos o conductas controladoras sobre la pareja en los últimos seis meses  " dataDxfId="176"/>
    <tableColumn id="9" xr3:uid="{87CE9EEF-6272-4A77-85D3-46D280F46A41}" name="5. Historial de conductas violentas con una pareja anterior  " dataDxfId="175"/>
    <tableColumn id="10" xr3:uid="{CAF7C92F-1D14-4A43-BA4F-2FFEC51196F9}" name="6. Historial de conductas violentas con otras personas (amigos, compañeros de trabajo, etc.) " dataDxfId="174"/>
    <tableColumn id="11" xr3:uid="{55CC9710-9264-4740-B44F-5E38376F998C}" name="7. Consumo abusivo de alcohol o drogas  " dataDxfId="173"/>
    <tableColumn id="12" xr3:uid="{198EEB66-1DA3-4BEA-B84B-7F2757750C09}" name="8. Justificación de las conducta violentas por su propio estado (alcohol, drogas, estrés) o por la provocación de la víctima  " dataDxfId="172"/>
    <tableColumn id="13" xr3:uid="{EA4A4268-A702-4875-BB3E-FC67EDD1891B}" name="9. Vulnerabilidad de la víctima por razón de enfermedad soledad o dependencia  " dataDxfId="171"/>
    <tableColumn id="15" xr3:uid="{298F6C20-2588-42FF-BFF8-2FB0BC8B050A}" name="89" dataDxfId="170"/>
    <tableColumn id="16" xr3:uid="{B8CE1FF4-C479-4F78-8312-4C676290E7D9}" name="Columna1" dataDxfId="169"/>
    <tableColumn id="17" xr3:uid="{EC18006E-6962-4FF4-883C-27D9C5310CE4}" name="Columna2" dataDxfId="168"/>
    <tableColumn id="18" xr3:uid="{966FA86E-A6D1-4A93-AA99-207833A84A62}" name="1. Violencia física en presencia de los hijos y otros familiares  2" dataDxfId="167"/>
    <tableColumn id="19" xr3:uid="{47592DE4-827A-4FA2-909C-9EB1FB87FF1B}" name="2. Aumento de la frecuencia y de la gravedad de los incidentes violentos  3" dataDxfId="166"/>
    <tableColumn id="20" xr3:uid="{7E654837-D2BD-4447-91D6-CDA13D565624}" name="3. Agresión con objetos peligrosos o con armas de cualquier tipo  4" dataDxfId="165"/>
    <tableColumn id="21" xr3:uid="{05597183-56E9-4557-8C1E-4E367B2AC1CF}" name="4. Celos muy intensos o conductas controladoras sobre la pareja en los últimos seis meses  5" dataDxfId="164"/>
    <tableColumn id="22" xr3:uid="{E0E7CEF6-A4DC-4E6D-B3C0-B9DC88C2538F}" name="5. Historial de conductas violentas con una pareja anterior  6" dataDxfId="163"/>
    <tableColumn id="23" xr3:uid="{311A5B59-C2FC-4F9F-89C0-09F322D90321}" name="6. Historial de conductas violentas con otras personas (amigos, compañeros de trabajo, etc.) 7" dataDxfId="162"/>
    <tableColumn id="24" xr3:uid="{CA2C9E7D-EDC0-4CBC-A912-3CF2C71B0F89}" name="7. Consumo abusivo de alcohol o drogas  8" dataDxfId="161"/>
    <tableColumn id="25" xr3:uid="{7DC5BE6D-81D5-4B5B-8A64-248E1BA99FA2}" name="8. Justificación de las conducta violentas por su propio estado (alcohol, drogas, estrés) o por la provocación de la víctima  9" dataDxfId="160"/>
    <tableColumn id="26" xr3:uid="{C0CC37A2-CDBB-4218-A1E8-C07ACBBE01D3}" name="9. Vulnerabilidad de la víctima por razón de enfermedad soledad o dependencia  10" dataDxfId="159"/>
    <tableColumn id="27" xr3:uid="{8FCE93CA-9745-48AF-8F39-42B4D53CD418}" name="Resultado revaloración riesgo" dataDxfId="158">
      <calculatedColumnFormula>+SUM(Tabla25[[#This Row],[1. Violencia física en presencia de los hijos y otros familiares  2]:[9. Vulnerabilidad de la víctima por razón de enfermedad soledad o dependencia  10]])</calculatedColumnFormula>
    </tableColumn>
    <tableColumn id="28" xr3:uid="{A69E41CF-5434-4B71-BB89-74C61DA42249}" name="Columna4" dataDxfId="157"/>
    <tableColumn id="29" xr3:uid="{DEB4EB8C-D158-48D4-B02C-714BE977DF07}" name="Columna5" dataDxfId="156"/>
    <tableColumn id="30" xr3:uid="{F5F15ABA-70C3-4E5F-8235-852C691C1471}" name="Columna6" dataDxfId="155"/>
    <tableColumn id="31" xr3:uid="{8C18BDB7-6E4F-44DD-B143-D95284CAD010}" name="Columna7" dataDxfId="154"/>
    <tableColumn id="32" xr3:uid="{DD8ADED4-6A2A-4EFF-AFC6-68123F12CE37}" name="Columna8" dataDxfId="153"/>
    <tableColumn id="33" xr3:uid="{622AC74A-CDB0-45DF-9A89-2C46BB9E9A51}" name="Columna9" dataDxfId="152"/>
    <tableColumn id="34" xr3:uid="{F0B60A78-E380-4879-A91B-EC60BE69DF44}" name="Columna10" dataDxfId="151"/>
    <tableColumn id="35" xr3:uid="{F8DE6509-4E14-433B-BDA6-9A5CA26B02FA}" name="Columna11" dataDxfId="150"/>
    <tableColumn id="36" xr3:uid="{8F4E3049-8DBA-4F6E-86BA-25EDF7BCCB92}" name="Columna12" dataDxfId="149"/>
    <tableColumn id="37" xr3:uid="{0E9C9A01-7752-4524-9066-26DCDB8A86FF}" name="Columna13" dataDxfId="148"/>
    <tableColumn id="38" xr3:uid="{7458A55B-38FB-4CB1-B25F-BB0F3A8E12B9}" name="Columna14" dataDxfId="147"/>
    <tableColumn id="39" xr3:uid="{86ABBF1F-69E1-4825-AD7E-747C931B1C77}" name="Priorizado" dataDxfId="146">
      <calculatedColumnFormula>+_xlfn.XLOOKUP(Tabla25[[#This Row],[Numero ID]],Tabla23[Cédula],Tabla23[Columna1],0,0,1)</calculatedColumnFormula>
    </tableColum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A968929-64C9-4DF5-BFB4-6B7DCEA9FC84}" name="Tabla23" displayName="Tabla23" ref="A1:C301" totalsRowShown="0">
  <autoFilter ref="A1:C301" xr:uid="{4A968929-64C9-4DF5-BFB4-6B7DCEA9FC84}"/>
  <tableColumns count="3">
    <tableColumn id="1" xr3:uid="{0D7FF21D-3625-437B-9FDB-20684A444A6C}" name="Casos Priorizados riesgo más de 15 "/>
    <tableColumn id="2" xr3:uid="{327572D4-47DB-4772-9547-74D3213692B8}" name="Cédula"/>
    <tableColumn id="3" xr3:uid="{9E8D5C21-67A7-46F1-9F7A-5EC6A0A019C9}" name="Columna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F4312BE-3D2A-417C-8385-265BA9A9ECC1}" name="Tabla28" displayName="Tabla28" ref="A1:CP2" totalsRowShown="0" headerRowDxfId="145" dataDxfId="143" headerRowBorderDxfId="144" tableBorderDxfId="142" totalsRowBorderDxfId="141">
  <autoFilter ref="A1:CP2" xr:uid="{8F4312BE-3D2A-417C-8385-265BA9A9ECC1}"/>
  <sortState xmlns:xlrd2="http://schemas.microsoft.com/office/spreadsheetml/2017/richdata2" ref="A2:CP2">
    <sortCondition ref="A1:A2"/>
  </sortState>
  <tableColumns count="94">
    <tableColumn id="1" xr3:uid="{E55FB35A-B002-4F06-A20D-A463BF841CC0}" name="EE" dataDxfId="140"/>
    <tableColumn id="2" xr3:uid="{0C7A8BED-8DA4-4B34-AF88-D1285E371266}" name="Tipo ID" dataDxfId="139"/>
    <tableColumn id="3" xr3:uid="{66F0CBEE-5A6E-4744-AB37-EAB7A5D7E534}" name="Número ID" dataDxfId="138">
      <calculatedColumnFormula>+_xlfn.XLOOKUP(Tabla28[[#This Row],[EE]],Tabla25[Columna3],Tabla25[Numero ID],0,0,1)</calculatedColumnFormula>
    </tableColumn>
    <tableColumn id="4" xr3:uid="{0D82FA8E-F43E-4990-BE20-8A4AB4E58519}" name="Nivel riesgo" dataDxfId="137">
      <calculatedColumnFormula>+_xlfn.XLOOKUP(C2,'Nivel de riesgo'!$C$2:$C$2,'Nivel de riesgo'!$D$2:$D$2,0,0,1)</calculatedColumnFormula>
    </tableColumn>
    <tableColumn id="81" xr3:uid="{E751ED16-3733-4BE8-B4CD-F10DCA4C6C6F}" name="Puntaje riesgo" dataDxfId="136">
      <calculatedColumnFormula>+_xlfn.XLOOKUP(C2,'Nivel de riesgo'!$C$2:$C$2,'Nivel de riesgo'!$E$2:$E$2,0,0,1)</calculatedColumnFormula>
    </tableColumn>
    <tableColumn id="5" xr3:uid="{31282D6C-289A-4A9F-98A5-DB707B360717}" name="Profesional que realizó tamizaje inicial" dataDxfId="135"/>
    <tableColumn id="6" xr3:uid="{43CCC885-1980-4838-9329-23D44E61BAAE}" name="Fecha de atención" dataDxfId="134"/>
    <tableColumn id="79" xr3:uid="{8EA38D2C-9EF4-4799-94E8-5BC36EF4B84E}" name="Avance seguimiento" dataDxfId="133">
      <calculatedColumnFormula>+IF(Tabla28[[#This Row],[¿Se hizo seguimiento?]]="Sí",1,0)+IF(Tabla28[[#This Row],[¿se hizo seguimiento?2]]="Sí",1,0)+IF(Tabla28[[#This Row],[¿Se hizo seguimiento?3]]="Sí",1,0)+IF(Tabla28[[#This Row],[¿Se hizo seguimiento?4]]="Sí",1,0)+IF(Tabla28[[#This Row],[¿Se hizo seguimiento?5]]="Sí",1,0)+IF(Tabla28[[#This Row],[¿Se hizo seguimiento?6]]="Sí",1,0)+IF(Tabla28[[#This Row],[¿Se hizo seguimiento?7]]="Sí",1,0)</calculatedColumnFormula>
    </tableColumn>
    <tableColumn id="80" xr3:uid="{C8AD5949-DBAB-46ED-AA62-C4C990AA5091}" name="Total seguimientos" dataDxfId="132">
      <calculatedColumnFormula>+IF(Tabla28[[#This Row],[Nivel riesgo]]="Alto",7,IF(Tabla28[[#This Row],[Nivel riesgo]]="Medio",6,5))</calculatedColumnFormula>
    </tableColumn>
    <tableColumn id="82" xr3:uid="{F16452F7-B89F-4709-8360-0FEBB1B7371B}" name="Prioridad" dataDxfId="131"/>
    <tableColumn id="49" xr3:uid="{59DFBDE3-3ECA-486B-90AB-7EDF3E45AD88}" name="Alerta pendientes" dataDxfId="130">
      <calculatedColumnFormula>+IF(AND(TODAY()&gt;Tabla28[[#This Row],[Primer seguimiento]],Tabla28[[#This Row],[¿Se hizo seguimiento?]]=0),"Primer seguimiento pendiente",IF(AND(TODAY()&gt;Tabla28[[#This Row],[Segundo seguimiento]],Tabla28[[#This Row],[¿se hizo seguimiento?2]]=0),"Segundo seguimiento pendiente",IF(AND(TODAY()&gt;Tabla28[[#This Row],[Tercer seguimiento]],Tabla28[[#This Row],[¿Se hizo seguimiento?3]]=0),"Tercer seguimiento pendiente",IF(AND(TODAY()&gt;Tabla28[[#This Row],[Cuarto seguimiento]],Tabla28[[#This Row],[¿Se hizo seguimiento?4]]=0),"Cuarto seguimiento pendiente",IF(AND(TODAY()&gt;Tabla28[[#This Row],[Quinto seguimiento]],Tabla28[[#This Row],[¿Se hizo seguimiento?5]]=0),"Quinto seguimiento pendiente",IF(AND(TODAY()&gt;Tabla28[[#This Row],[Sexto seguimiento]],Tabla28[[#This Row],[¿Se hizo seguimiento?6]]=0),"Sexto seguimiento pendiente",IF(AND(TODAY()&gt;Tabla28[[#This Row],[Séptimo seguimiento]],Tabla28[[#This Row],[¿Se hizo seguimiento?7]]=0),"Séptimo seguimiento pendiente","Seguimientos al día")))))))</calculatedColumnFormula>
    </tableColumn>
    <tableColumn id="7" xr3:uid="{7E54F04E-9377-4B4C-BC4B-14F53B3E2F79}" name="Primer seguimiento" dataDxfId="129">
      <calculatedColumnFormula>+IF(D2="Alto",$G2+(4/24),IF(D2="Medio",$G2+(8/24),$G2+1))</calculatedColumnFormula>
    </tableColumn>
    <tableColumn id="50" xr3:uid="{8F72DE0C-A49F-4FA3-9125-76DEF52166D3}" name="¿Se hizo seguimiento?" dataDxfId="128"/>
    <tableColumn id="8" xr3:uid="{C67B5A15-31EA-47CE-B685-A9B65104C33E}" name="Sector" dataDxfId="127"/>
    <tableColumn id="56" xr3:uid="{CDE869FC-9CA6-4FE3-A976-2E532B4CE84E}" name="La persona fue a la entidad" dataDxfId="126"/>
    <tableColumn id="9" xr3:uid="{3ED9E0AF-CFEF-4484-B047-99CD719345F7}" name="Recibió atención?" dataDxfId="125"/>
    <tableColumn id="10" xr3:uid="{E70911C9-53B2-4BFA-B547-BADD9489362F}" name="Sector barreras" dataDxfId="124"/>
    <tableColumn id="11" xr3:uid="{BC9EC7F7-B77D-42A7-98E0-9AF728DD9BEF}" name="Barreras" dataDxfId="123"/>
    <tableColumn id="12" xr3:uid="{C4478227-C485-4ADE-8E1A-0CB5E8C82591}" name="Nombre entidad Barreras" dataDxfId="122"/>
    <tableColumn id="57" xr3:uid="{5E4B056C-4341-4BAE-8FDF-EA088ED0180A}" name="Comentarios" dataDxfId="121"/>
    <tableColumn id="84" xr3:uid="{A2A8212B-E2FC-483F-99C9-0DFC8253B76C}" name="¿Se elaboraron documentos del caso?" dataDxfId="120">
      <calculatedColumnFormula>SUBSTITUTE(Tabla28[[#This Row],[Nivel riesgo]], "Alt", "N")</calculatedColumnFormula>
    </tableColumn>
    <tableColumn id="13" xr3:uid="{B03CFD76-9731-4199-BB03-E952379CDE54}" name="Persona que hace seguimiento" dataDxfId="119"/>
    <tableColumn id="14" xr3:uid="{C0F8D025-6C49-473D-A5EF-1C49C24651C5}" name="Segundo seguimiento" dataDxfId="118">
      <calculatedColumnFormula>+IF(D2="Alto",$G2+1,IF(D2="Medio",$G2+4,$G2+15))</calculatedColumnFormula>
    </tableColumn>
    <tableColumn id="51" xr3:uid="{98F4CF4A-E62C-40C3-8333-7235D900872B}" name="¿se hizo seguimiento?2" dataDxfId="117"/>
    <tableColumn id="15" xr3:uid="{452C027D-8F53-4284-9F67-D76DD3CDA3C8}" name="Sector2" dataDxfId="116"/>
    <tableColumn id="59" xr3:uid="{84740CD1-9222-4351-AACE-4C868D270E03}" name="La persona fue a la entidad2" dataDxfId="115"/>
    <tableColumn id="16" xr3:uid="{3EB7221D-ED7E-492C-99F1-5720EFD763E1}" name="Recibió atención?2" dataDxfId="114"/>
    <tableColumn id="17" xr3:uid="{090660EA-101E-48B3-A818-5221C970F9FF}" name="Sector barreras2" dataDxfId="113"/>
    <tableColumn id="18" xr3:uid="{4E91ABDE-DAE1-4E48-AFF0-E8F14120BE8C}" name="Barreras2" dataDxfId="112"/>
    <tableColumn id="19" xr3:uid="{C7918BBC-921E-429D-B946-DE838BC7E93A}" name="Nombre entidad Barreras2" dataDxfId="111"/>
    <tableColumn id="61" xr3:uid="{3B5ADE82-594B-4CBE-9E01-BF35665DB5E1}" name="Comentarios2" dataDxfId="110"/>
    <tableColumn id="85" xr3:uid="{E0CFB04C-0A3D-4A73-A82E-F70DAA42A5C3}" name="¿Se elaboraron documentos del caso?2" dataDxfId="109"/>
    <tableColumn id="20" xr3:uid="{048BDC6F-56D2-484F-9AA2-26FCE079DA3F}" name="Persona que hace seguimiento2" dataDxfId="108"/>
    <tableColumn id="21" xr3:uid="{111091BE-DF0D-4B46-AEB4-C096DFCF8365}" name="Tercer seguimiento" dataDxfId="107">
      <calculatedColumnFormula>+IF(D2="Alto",$G2+2,IF(D2="Medio",$G2+15,$G2+30))</calculatedColumnFormula>
    </tableColumn>
    <tableColumn id="52" xr3:uid="{32833A32-69F2-4592-BECD-69ED8F586CA8}" name="¿Se hizo seguimiento?3" dataDxfId="106"/>
    <tableColumn id="22" xr3:uid="{F720060F-7765-43A6-ACC6-EA7431103025}" name="Sector3" dataDxfId="105"/>
    <tableColumn id="62" xr3:uid="{1F762255-C3B1-486E-80B2-0B27A86E380A}" name="La persona fue a la entidad3" dataDxfId="104"/>
    <tableColumn id="23" xr3:uid="{A397DF28-CC2D-4D97-A919-AE79491106AA}" name="Recibió atención?3" dataDxfId="103"/>
    <tableColumn id="24" xr3:uid="{0FBE9FA9-66AB-4F4E-A58D-3FE5A4510027}" name="Sector barreras3" dataDxfId="102"/>
    <tableColumn id="25" xr3:uid="{B0CBD736-EA8A-44EF-8761-3FC72BE47E5C}" name="Barreras3" dataDxfId="101"/>
    <tableColumn id="26" xr3:uid="{39519E8D-5598-427F-9BAB-D47BDF85BE3B}" name="Nombre entidad Barreras3" dataDxfId="100"/>
    <tableColumn id="63" xr3:uid="{0FF3D5F0-ECC3-4D4B-8B15-DE4B1A583D1E}" name="Comentarios3" dataDxfId="99"/>
    <tableColumn id="86" xr3:uid="{FB9BE73B-9E8D-4D19-83D9-9705E3035642}" name="¿Se elaboraron documentos del caso?3" dataDxfId="98">
      <calculatedColumnFormula>SECOND(Tabla28[[#This Row],[Cuarto seguimiento]])</calculatedColumnFormula>
    </tableColumn>
    <tableColumn id="27" xr3:uid="{F23C4F05-4D94-4682-A799-4E4743D3AAE5}" name="Persona que hace seguimiento3" dataDxfId="97"/>
    <tableColumn id="28" xr3:uid="{6CD87687-65D0-48EF-8A9F-B6CF38CBB99F}" name="Cuarto seguimiento" dataDxfId="96">
      <calculatedColumnFormula>+IF(D2="Alto",$G2+(72/24),IF(D2="Medio",$G2+30,$G2+60))</calculatedColumnFormula>
    </tableColumn>
    <tableColumn id="53" xr3:uid="{20DE335D-6F42-4EB8-A263-FA3380466EFB}" name="¿Se hizo seguimiento?4" dataDxfId="95"/>
    <tableColumn id="29" xr3:uid="{38D3CB50-8906-4B4B-A88C-B5078B5180BD}" name="Sector4" dataDxfId="94"/>
    <tableColumn id="64" xr3:uid="{8B8E9799-0F88-4147-ACF9-30596BAC9C8B}" name="La persona fue a la entidad4" dataDxfId="93"/>
    <tableColumn id="30" xr3:uid="{019023AB-56DC-4930-8E5A-F1444639E284}" name="Recibió atención?4" dataDxfId="92"/>
    <tableColumn id="31" xr3:uid="{D29E2C61-8D62-46F9-A34D-C13E62BA3115}" name="Sector barreras4" dataDxfId="91"/>
    <tableColumn id="32" xr3:uid="{FC8F9AB4-E7EB-4472-ABCA-584E58777435}" name="Barreras4" dataDxfId="90"/>
    <tableColumn id="33" xr3:uid="{889B9FF9-D2AE-4289-B5F3-F3FCFA377F57}" name="Nombre entidad Barreras4" dataDxfId="89"/>
    <tableColumn id="65" xr3:uid="{95831F11-CABA-430B-92B1-F7F0B0DB173F}" name="Comentarios4" dataDxfId="88"/>
    <tableColumn id="87" xr3:uid="{5BCB69B3-9947-4345-A7B4-794921E3DE3F}" name="¿Se elaboraron documentos del caso?4" dataDxfId="87"/>
    <tableColumn id="34" xr3:uid="{E7ECDEF9-226C-4AA9-828B-77C13FCABB30}" name="Persona que hace seguimiento4" dataDxfId="86"/>
    <tableColumn id="35" xr3:uid="{FDA27BBD-A05E-4376-8E45-16044E2E40C0}" name="Quinto seguimiento" dataDxfId="85">
      <calculatedColumnFormula>+IF(D2="Alto",$G2+30,IF(D2="Medio",$G2+60,$G2+90))</calculatedColumnFormula>
    </tableColumn>
    <tableColumn id="54" xr3:uid="{BEAA8E9B-139B-4CBA-A30C-E2F685701CA9}" name="¿Se hizo seguimiento?5" dataDxfId="84"/>
    <tableColumn id="36" xr3:uid="{8098062A-3CA4-4A6F-9EE9-04B6DA444F39}" name="Sector5" dataDxfId="83"/>
    <tableColumn id="66" xr3:uid="{FBB7533F-DA10-4831-B829-FE6FCC742965}" name="La persona fue a la entidad5" dataDxfId="82"/>
    <tableColumn id="37" xr3:uid="{237AAD00-A1BB-48AD-9B0B-5D735F3F940C}" name="Recibió atención?5" dataDxfId="81"/>
    <tableColumn id="38" xr3:uid="{1125811B-C69A-4F81-ABA1-48040BA206B9}" name="Sector barreras5" dataDxfId="80"/>
    <tableColumn id="39" xr3:uid="{11D77D09-92C1-4B59-976F-A0F923BAE8CA}" name="Barreras5" dataDxfId="79"/>
    <tableColumn id="40" xr3:uid="{791E11FF-2971-4D43-837A-D0C441950EB7}" name="Nombre entidad Barreras5" dataDxfId="78"/>
    <tableColumn id="67" xr3:uid="{E0524E3E-E1B1-4283-91D2-8980D57A5E70}" name="7" dataDxfId="77"/>
    <tableColumn id="88" xr3:uid="{ED9D9EE5-430E-4FE5-B4FD-62D888067EC5}" name="¿Se elaboraron docuemntos del caso?" dataDxfId="76"/>
    <tableColumn id="41" xr3:uid="{9F824013-B906-4E5C-8211-3F6B105E7391}" name="Persona que hace seguimiento5" dataDxfId="75"/>
    <tableColumn id="42" xr3:uid="{F7B7E542-4BFC-4934-9119-79292C5A4364}" name="Sexto seguimiento" dataDxfId="74">
      <calculatedColumnFormula>+IF(D2="Alto",$G2+60,IF(D2="Medio",$G2+90,"No"))</calculatedColumnFormula>
    </tableColumn>
    <tableColumn id="55" xr3:uid="{D32A5B87-9B90-43A6-AF23-1DC6E1EA112D}" name="¿Se hizo seguimiento?6" dataDxfId="73"/>
    <tableColumn id="43" xr3:uid="{13D33EE8-7A11-4818-A69C-DBC9C8154FEF}" name="Sector6" dataDxfId="72"/>
    <tableColumn id="68" xr3:uid="{B2494204-2B64-47C6-980D-64C5CB2F74E2}" name="La persona fue a la entidad6" dataDxfId="71"/>
    <tableColumn id="44" xr3:uid="{16E27A51-7A88-4469-9CB9-F379399CABF3}" name="Recibió atención?6" dataDxfId="70"/>
    <tableColumn id="45" xr3:uid="{3A2C37AA-BB52-4434-BD90-CAD14FF13624}" name="Sector barreras6" dataDxfId="69"/>
    <tableColumn id="46" xr3:uid="{45F2DB9B-9CD1-4EE4-B1D7-AC36EE79D0A8}" name="Barreras6" dataDxfId="68"/>
    <tableColumn id="47" xr3:uid="{A827B101-7F44-4639-BE6B-85092F8ECDF1}" name="Nombre entidad Barreras6" dataDxfId="67"/>
    <tableColumn id="69" xr3:uid="{BB06FE03-FBBE-40D7-9680-705C1130EC3F}" name="Comentarios6" dataDxfId="66"/>
    <tableColumn id="89" xr3:uid="{BBD3F52B-1ECD-44C3-9110-7004AB440B17}" name="¿se elaboraron documentos del caso?5" dataDxfId="65"/>
    <tableColumn id="48" xr3:uid="{0620BBCD-F17B-4A6B-86E4-5B1B8D7D4F52}" name="Persona que hace seguimiento6" dataDxfId="64"/>
    <tableColumn id="58" xr3:uid="{D1CDE7E4-F313-48E3-9F88-C63BC376B125}" name="Séptimo seguimiento" dataDxfId="63">
      <calculatedColumnFormula>+IF(D2="Alto",$G2+90,"No")</calculatedColumnFormula>
    </tableColumn>
    <tableColumn id="70" xr3:uid="{53E8BB19-ADBE-4E18-B8A1-CFDAADFC699B}" name="¿Se hizo seguimiento?7" dataDxfId="62"/>
    <tableColumn id="71" xr3:uid="{F6E1FF13-FB34-4087-A632-67F913F93B88}" name="Sector7" dataDxfId="61"/>
    <tableColumn id="72" xr3:uid="{CD54CF88-070B-46CE-9D01-8E3D2921ED27}" name="La persona fue a la entidad7" dataDxfId="60"/>
    <tableColumn id="73" xr3:uid="{C779DAAE-4148-4F61-B90B-907A2A69FE86}" name="Recibió atención?7" dataDxfId="59"/>
    <tableColumn id="74" xr3:uid="{B8CF89DF-CDE5-4AF0-9786-F6CD2D6B0F9E}" name="Sector barreras7" dataDxfId="58"/>
    <tableColumn id="75" xr3:uid="{8EA0ABDE-FC04-4BEE-BC04-D8BB7F93C35A}" name="Barreras7" dataDxfId="57"/>
    <tableColumn id="76" xr3:uid="{F2DE550D-FC9E-4F74-88F4-B005F6BF398D}" name="Nombre entidad Barreras7" dataDxfId="56"/>
    <tableColumn id="77" xr3:uid="{4A13826A-37AE-4D2B-8AA0-E900D78F12F3}" name="Comentarios7" dataDxfId="55"/>
    <tableColumn id="90" xr3:uid="{448C984E-34BA-441C-9E6C-E941A18428C1}" name="¿Se elaboraron documentos del caso?6" dataDxfId="54"/>
    <tableColumn id="78" xr3:uid="{C6B7020D-BDC1-464C-B948-51D0FA1A5612}" name="Persona que hace seguimiento7" dataDxfId="53"/>
    <tableColumn id="60" xr3:uid="{7363683F-97F3-4E42-9CDA-54F7E69D9CEA}" name="Observación final" dataDxfId="52"/>
    <tableColumn id="83" xr3:uid="{C1B933F1-632A-4E4E-944C-8EEBCEF99732}" name="Caso cerrado" dataDxfId="51"/>
    <tableColumn id="91" xr3:uid="{433154C6-CE31-40C3-954D-82DBE4B347C5}" name="Traslado" dataDxfId="50"/>
    <tableColumn id="92" xr3:uid="{4AEF6A9B-E2F3-40FD-998D-6A74A3C826E3}" name="¿Continúa el caso?" dataDxfId="49"/>
    <tableColumn id="93" xr3:uid="{E5C23A67-1DE9-4DCA-A193-0F82EEE4E7B3}" name="Acciones por adelantar" dataDxfId="48"/>
    <tableColumn id="94" xr3:uid="{9A17B7AF-AA8D-429F-9723-E87157347A89}" name="Priorizado" dataDxfId="47"/>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4292-6C65-4945-B5E6-E93E7EE2624B}">
  <dimension ref="A1:D31"/>
  <sheetViews>
    <sheetView workbookViewId="0"/>
  </sheetViews>
  <sheetFormatPr baseColWidth="10" defaultColWidth="8.88671875" defaultRowHeight="14.4" x14ac:dyDescent="0.3"/>
  <cols>
    <col min="2" max="2" width="33.5546875" customWidth="1"/>
    <col min="3" max="3" width="27.6640625" customWidth="1"/>
  </cols>
  <sheetData>
    <row r="1" spans="1:4" ht="55.2" x14ac:dyDescent="0.3">
      <c r="A1" s="42" t="s">
        <v>0</v>
      </c>
      <c r="B1" s="43">
        <v>1121857750</v>
      </c>
      <c r="C1" s="56">
        <v>1121857750</v>
      </c>
      <c r="D1">
        <f t="shared" ref="D1:D31" si="0">+B1-C1</f>
        <v>0</v>
      </c>
    </row>
    <row r="2" spans="1:4" ht="55.2" x14ac:dyDescent="0.3">
      <c r="A2" s="44" t="s">
        <v>0</v>
      </c>
      <c r="B2" s="45">
        <v>1013669185</v>
      </c>
      <c r="C2" s="38">
        <v>1013669185</v>
      </c>
      <c r="D2">
        <f t="shared" si="0"/>
        <v>0</v>
      </c>
    </row>
    <row r="3" spans="1:4" ht="55.2" x14ac:dyDescent="0.3">
      <c r="A3" s="46" t="s">
        <v>0</v>
      </c>
      <c r="B3" s="47">
        <v>39425865</v>
      </c>
      <c r="C3" s="56">
        <v>39425865</v>
      </c>
      <c r="D3">
        <f t="shared" si="0"/>
        <v>0</v>
      </c>
    </row>
    <row r="4" spans="1:4" ht="55.2" x14ac:dyDescent="0.3">
      <c r="A4" s="44" t="s">
        <v>0</v>
      </c>
      <c r="B4" s="45">
        <v>39658161</v>
      </c>
      <c r="C4" s="38"/>
      <c r="D4">
        <f t="shared" si="0"/>
        <v>39658161</v>
      </c>
    </row>
    <row r="5" spans="1:4" ht="55.2" x14ac:dyDescent="0.3">
      <c r="A5" s="42" t="s">
        <v>0</v>
      </c>
      <c r="B5" s="48">
        <v>30745629</v>
      </c>
      <c r="C5" s="39">
        <v>30745629</v>
      </c>
      <c r="D5">
        <f t="shared" si="0"/>
        <v>0</v>
      </c>
    </row>
    <row r="6" spans="1:4" ht="96.6" x14ac:dyDescent="0.3">
      <c r="A6" s="44" t="s">
        <v>1</v>
      </c>
      <c r="B6" s="45">
        <v>5094395</v>
      </c>
      <c r="C6" s="38">
        <v>5094395</v>
      </c>
      <c r="D6">
        <f t="shared" si="0"/>
        <v>0</v>
      </c>
    </row>
    <row r="7" spans="1:4" ht="55.2" x14ac:dyDescent="0.3">
      <c r="A7" s="42" t="s">
        <v>0</v>
      </c>
      <c r="B7" s="48">
        <v>1088240668</v>
      </c>
      <c r="C7" s="40">
        <v>1088240668</v>
      </c>
      <c r="D7">
        <f t="shared" si="0"/>
        <v>0</v>
      </c>
    </row>
    <row r="8" spans="1:4" ht="55.2" x14ac:dyDescent="0.3">
      <c r="A8" s="44" t="s">
        <v>0</v>
      </c>
      <c r="B8" s="45">
        <v>43206515</v>
      </c>
      <c r="C8" s="57">
        <v>43206515</v>
      </c>
      <c r="D8">
        <f t="shared" si="0"/>
        <v>0</v>
      </c>
    </row>
    <row r="9" spans="1:4" ht="55.2" x14ac:dyDescent="0.3">
      <c r="A9" s="32" t="s">
        <v>0</v>
      </c>
      <c r="B9" s="33">
        <v>59313596</v>
      </c>
      <c r="C9" s="58">
        <v>59313596</v>
      </c>
      <c r="D9">
        <f t="shared" si="0"/>
        <v>0</v>
      </c>
    </row>
    <row r="10" spans="1:4" ht="55.2" x14ac:dyDescent="0.3">
      <c r="A10" s="49" t="s">
        <v>0</v>
      </c>
      <c r="B10" s="50">
        <v>28688965</v>
      </c>
      <c r="C10" s="57">
        <v>28688965</v>
      </c>
      <c r="D10">
        <f t="shared" si="0"/>
        <v>0</v>
      </c>
    </row>
    <row r="11" spans="1:4" ht="55.2" x14ac:dyDescent="0.3">
      <c r="A11" s="46" t="s">
        <v>0</v>
      </c>
      <c r="B11" s="47">
        <v>1119150379</v>
      </c>
      <c r="C11" s="56">
        <v>1119150379</v>
      </c>
      <c r="D11">
        <f t="shared" si="0"/>
        <v>0</v>
      </c>
    </row>
    <row r="12" spans="1:4" ht="55.2" x14ac:dyDescent="0.3">
      <c r="A12" s="51" t="s">
        <v>0</v>
      </c>
      <c r="B12" s="52">
        <v>1022371128</v>
      </c>
      <c r="C12" s="37">
        <v>1022371128</v>
      </c>
      <c r="D12">
        <f t="shared" si="0"/>
        <v>0</v>
      </c>
    </row>
    <row r="13" spans="1:4" ht="55.2" x14ac:dyDescent="0.3">
      <c r="A13" s="46" t="s">
        <v>0</v>
      </c>
      <c r="B13" s="47">
        <v>66803471</v>
      </c>
      <c r="C13" s="56">
        <v>66803471</v>
      </c>
      <c r="D13">
        <f t="shared" si="0"/>
        <v>0</v>
      </c>
    </row>
    <row r="14" spans="1:4" ht="55.2" x14ac:dyDescent="0.3">
      <c r="A14" s="49" t="s">
        <v>0</v>
      </c>
      <c r="B14" s="50">
        <v>1047449539</v>
      </c>
      <c r="C14" s="57">
        <v>1047449539</v>
      </c>
      <c r="D14">
        <f t="shared" si="0"/>
        <v>0</v>
      </c>
    </row>
    <row r="15" spans="1:4" ht="72" x14ac:dyDescent="0.3">
      <c r="A15" s="43" t="s">
        <v>0</v>
      </c>
      <c r="B15" s="53">
        <v>1014476873</v>
      </c>
      <c r="C15" s="56">
        <v>1014476873</v>
      </c>
      <c r="D15">
        <f t="shared" si="0"/>
        <v>0</v>
      </c>
    </row>
    <row r="16" spans="1:4" ht="96.6" x14ac:dyDescent="0.3">
      <c r="A16" s="44" t="s">
        <v>1</v>
      </c>
      <c r="B16" s="45">
        <v>7043827</v>
      </c>
      <c r="C16" s="57">
        <v>7043827</v>
      </c>
      <c r="D16">
        <f t="shared" si="0"/>
        <v>0</v>
      </c>
    </row>
    <row r="17" spans="1:4" ht="72" x14ac:dyDescent="0.3">
      <c r="A17" s="43" t="s">
        <v>0</v>
      </c>
      <c r="B17" s="53">
        <v>1019027342</v>
      </c>
      <c r="C17" s="56">
        <v>1019027342</v>
      </c>
      <c r="D17">
        <f t="shared" si="0"/>
        <v>0</v>
      </c>
    </row>
    <row r="18" spans="1:4" ht="72" x14ac:dyDescent="0.3">
      <c r="A18" s="54" t="s">
        <v>0</v>
      </c>
      <c r="B18" s="55">
        <v>52933739</v>
      </c>
      <c r="C18" s="57">
        <v>52933739</v>
      </c>
      <c r="D18">
        <f t="shared" si="0"/>
        <v>0</v>
      </c>
    </row>
    <row r="19" spans="1:4" ht="55.2" x14ac:dyDescent="0.3">
      <c r="A19" s="51" t="s">
        <v>0</v>
      </c>
      <c r="B19" s="52">
        <v>1116241659</v>
      </c>
      <c r="C19" s="56">
        <v>1116241659</v>
      </c>
      <c r="D19">
        <f t="shared" si="0"/>
        <v>0</v>
      </c>
    </row>
    <row r="20" spans="1:4" ht="55.2" x14ac:dyDescent="0.3">
      <c r="A20" s="44" t="s">
        <v>0</v>
      </c>
      <c r="B20" s="45">
        <v>1105682596</v>
      </c>
      <c r="C20" s="57">
        <v>1105682596</v>
      </c>
      <c r="D20">
        <f t="shared" si="0"/>
        <v>0</v>
      </c>
    </row>
    <row r="21" spans="1:4" ht="55.2" x14ac:dyDescent="0.3">
      <c r="A21" s="42" t="s">
        <v>0</v>
      </c>
      <c r="B21" s="43">
        <v>1016713312</v>
      </c>
      <c r="C21" s="56">
        <v>1016713312</v>
      </c>
      <c r="D21">
        <f t="shared" si="0"/>
        <v>0</v>
      </c>
    </row>
    <row r="22" spans="1:4" ht="55.2" x14ac:dyDescent="0.3">
      <c r="A22" s="44" t="s">
        <v>0</v>
      </c>
      <c r="B22" s="54">
        <v>1085291650</v>
      </c>
      <c r="C22" s="37">
        <v>1085291650</v>
      </c>
      <c r="D22">
        <f t="shared" si="0"/>
        <v>0</v>
      </c>
    </row>
    <row r="23" spans="1:4" ht="55.2" x14ac:dyDescent="0.3">
      <c r="A23" s="51" t="s">
        <v>0</v>
      </c>
      <c r="B23" s="52">
        <v>1047449539</v>
      </c>
      <c r="C23" s="59" t="s">
        <v>2</v>
      </c>
      <c r="D23" t="e">
        <f t="shared" si="0"/>
        <v>#VALUE!</v>
      </c>
    </row>
    <row r="24" spans="1:4" ht="55.2" x14ac:dyDescent="0.3">
      <c r="A24" s="44" t="s">
        <v>0</v>
      </c>
      <c r="B24" s="45">
        <v>1093214964</v>
      </c>
      <c r="C24" s="37">
        <v>1093214964</v>
      </c>
      <c r="D24">
        <f t="shared" si="0"/>
        <v>0</v>
      </c>
    </row>
    <row r="25" spans="1:4" ht="55.2" x14ac:dyDescent="0.3">
      <c r="A25" s="51" t="s">
        <v>0</v>
      </c>
      <c r="B25" s="52">
        <v>1098706486</v>
      </c>
      <c r="C25" s="56">
        <v>1098706486</v>
      </c>
      <c r="D25">
        <f t="shared" si="0"/>
        <v>0</v>
      </c>
    </row>
    <row r="26" spans="1:4" ht="55.2" x14ac:dyDescent="0.3">
      <c r="A26" s="44" t="s">
        <v>0</v>
      </c>
      <c r="B26" s="45">
        <v>1022953914</v>
      </c>
      <c r="C26" s="38">
        <v>1022953914</v>
      </c>
      <c r="D26">
        <f t="shared" si="0"/>
        <v>0</v>
      </c>
    </row>
    <row r="27" spans="1:4" ht="55.2" x14ac:dyDescent="0.3">
      <c r="A27" s="51" t="s">
        <v>0</v>
      </c>
      <c r="B27" s="52">
        <v>1020745321</v>
      </c>
      <c r="C27" s="56">
        <v>1020745321</v>
      </c>
      <c r="D27">
        <f t="shared" si="0"/>
        <v>0</v>
      </c>
    </row>
    <row r="28" spans="1:4" ht="55.2" x14ac:dyDescent="0.3">
      <c r="A28" s="44" t="s">
        <v>0</v>
      </c>
      <c r="B28" s="45">
        <v>1140889328</v>
      </c>
      <c r="C28" s="41">
        <v>1140889328</v>
      </c>
      <c r="D28">
        <f t="shared" si="0"/>
        <v>0</v>
      </c>
    </row>
    <row r="29" spans="1:4" ht="55.2" x14ac:dyDescent="0.3">
      <c r="A29" s="42" t="s">
        <v>0</v>
      </c>
      <c r="B29" s="48">
        <v>25776129</v>
      </c>
      <c r="C29" s="60">
        <v>25776129</v>
      </c>
      <c r="D29">
        <f t="shared" si="0"/>
        <v>0</v>
      </c>
    </row>
    <row r="30" spans="1:4" ht="55.2" x14ac:dyDescent="0.3">
      <c r="A30" s="42" t="s">
        <v>0</v>
      </c>
      <c r="B30" s="48">
        <v>36954012</v>
      </c>
      <c r="C30" s="57"/>
      <c r="D30">
        <f t="shared" si="0"/>
        <v>36954012</v>
      </c>
    </row>
    <row r="31" spans="1:4" ht="55.2" x14ac:dyDescent="0.3">
      <c r="A31" s="34" t="s">
        <v>0</v>
      </c>
      <c r="B31" s="36">
        <v>1030657179</v>
      </c>
      <c r="C31" s="61">
        <v>1047449539</v>
      </c>
      <c r="D31">
        <f t="shared" si="0"/>
        <v>-16792360</v>
      </c>
    </row>
  </sheetData>
  <conditionalFormatting sqref="B1:B31">
    <cfRule type="duplicateValues" dxfId="46" priority="4"/>
  </conditionalFormatting>
  <conditionalFormatting sqref="C1:C31">
    <cfRule type="expression" dxfId="45" priority="1">
      <formula>$J1="Pendiente"</formula>
    </cfRule>
    <cfRule type="expression" dxfId="44" priority="2">
      <formula>$J1="Prioritario"</formula>
    </cfRule>
    <cfRule type="duplicateValues" dxfId="43" priority="3"/>
  </conditionalFormatting>
  <dataValidations count="1">
    <dataValidation type="list" allowBlank="1" showInputMessage="1" showErrorMessage="1" sqref="A1:A31" xr:uid="{36F41B15-F892-4519-A4BC-E654DF736FAF}">
      <formula1>INDIRECT("tabla5[]")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4068A-7F9D-4B91-BC13-AA8BF12E4BF7}">
  <dimension ref="A1:B28"/>
  <sheetViews>
    <sheetView workbookViewId="0">
      <selection activeCell="A13" sqref="A13"/>
    </sheetView>
  </sheetViews>
  <sheetFormatPr baseColWidth="10" defaultColWidth="11.44140625" defaultRowHeight="14.4" x14ac:dyDescent="0.3"/>
  <cols>
    <col min="1" max="1" width="92.88671875" bestFit="1" customWidth="1"/>
  </cols>
  <sheetData>
    <row r="1" spans="1:2" s="14" customFormat="1" ht="18" x14ac:dyDescent="0.3">
      <c r="A1" s="16" t="s">
        <v>3</v>
      </c>
      <c r="B1" s="17">
        <v>3</v>
      </c>
    </row>
    <row r="2" spans="1:2" ht="15.6" x14ac:dyDescent="0.3">
      <c r="A2" s="11" t="s">
        <v>4</v>
      </c>
      <c r="B2" s="10"/>
    </row>
    <row r="3" spans="1:2" ht="15.6" x14ac:dyDescent="0.3">
      <c r="A3" s="11" t="s">
        <v>5</v>
      </c>
      <c r="B3" s="10"/>
    </row>
    <row r="4" spans="1:2" ht="15.6" x14ac:dyDescent="0.3">
      <c r="A4" s="11" t="s">
        <v>6</v>
      </c>
      <c r="B4" s="10"/>
    </row>
    <row r="5" spans="1:2" s="14" customFormat="1" ht="18" x14ac:dyDescent="0.3">
      <c r="A5" s="16" t="s">
        <v>7</v>
      </c>
      <c r="B5" s="17">
        <v>4</v>
      </c>
    </row>
    <row r="6" spans="1:2" ht="15.6" x14ac:dyDescent="0.3">
      <c r="A6" s="11" t="s">
        <v>8</v>
      </c>
      <c r="B6" s="10"/>
    </row>
    <row r="7" spans="1:2" ht="15.6" x14ac:dyDescent="0.3">
      <c r="A7" s="11" t="s">
        <v>9</v>
      </c>
      <c r="B7" s="10"/>
    </row>
    <row r="8" spans="1:2" ht="15.6" x14ac:dyDescent="0.3">
      <c r="A8" s="11" t="s">
        <v>10</v>
      </c>
      <c r="B8" s="10"/>
    </row>
    <row r="9" spans="1:2" ht="15.6" x14ac:dyDescent="0.3">
      <c r="A9" s="11" t="s">
        <v>11</v>
      </c>
      <c r="B9" s="10"/>
    </row>
    <row r="10" spans="1:2" ht="15.6" x14ac:dyDescent="0.3">
      <c r="A10" s="15" t="s">
        <v>12</v>
      </c>
      <c r="B10" s="10"/>
    </row>
    <row r="11" spans="1:2" ht="15.6" x14ac:dyDescent="0.3">
      <c r="A11" s="11" t="s">
        <v>13</v>
      </c>
      <c r="B11" s="10"/>
    </row>
    <row r="12" spans="1:2" ht="15.6" x14ac:dyDescent="0.3">
      <c r="A12" s="11" t="s">
        <v>14</v>
      </c>
      <c r="B12" s="10"/>
    </row>
    <row r="13" spans="1:2" ht="15.6" x14ac:dyDescent="0.3">
      <c r="A13" s="11" t="s">
        <v>15</v>
      </c>
      <c r="B13" s="10"/>
    </row>
    <row r="14" spans="1:2" ht="15.6" x14ac:dyDescent="0.3">
      <c r="A14" s="11" t="s">
        <v>16</v>
      </c>
      <c r="B14" s="10"/>
    </row>
    <row r="15" spans="1:2" ht="18" x14ac:dyDescent="0.3">
      <c r="A15" s="16" t="s">
        <v>17</v>
      </c>
      <c r="B15" s="17">
        <v>4</v>
      </c>
    </row>
    <row r="16" spans="1:2" ht="31.2" x14ac:dyDescent="0.3">
      <c r="A16" s="11" t="s">
        <v>18</v>
      </c>
      <c r="B16" s="18"/>
    </row>
    <row r="17" spans="1:2" ht="15.6" x14ac:dyDescent="0.3">
      <c r="A17" s="11" t="s">
        <v>19</v>
      </c>
      <c r="B17" s="10"/>
    </row>
    <row r="18" spans="1:2" ht="15.6" x14ac:dyDescent="0.3">
      <c r="A18" s="11" t="s">
        <v>20</v>
      </c>
      <c r="B18" s="10"/>
    </row>
    <row r="19" spans="1:2" ht="15.6" x14ac:dyDescent="0.3">
      <c r="A19" s="13" t="s">
        <v>21</v>
      </c>
      <c r="B19" s="10"/>
    </row>
    <row r="20" spans="1:2" ht="18" x14ac:dyDescent="0.3">
      <c r="A20" s="12" t="s">
        <v>22</v>
      </c>
      <c r="B20" s="19">
        <v>1</v>
      </c>
    </row>
    <row r="21" spans="1:2" ht="15.6" x14ac:dyDescent="0.3">
      <c r="A21" s="13" t="s">
        <v>23</v>
      </c>
      <c r="B21" s="10"/>
    </row>
    <row r="22" spans="1:2" ht="18" x14ac:dyDescent="0.3">
      <c r="A22" s="20" t="s">
        <v>24</v>
      </c>
      <c r="B22" s="21">
        <v>5</v>
      </c>
    </row>
    <row r="23" spans="1:2" ht="15.6" x14ac:dyDescent="0.3">
      <c r="A23" s="22" t="s">
        <v>25</v>
      </c>
      <c r="B23" s="23"/>
    </row>
    <row r="24" spans="1:2" ht="15.6" x14ac:dyDescent="0.3">
      <c r="A24" s="22" t="s">
        <v>26</v>
      </c>
      <c r="B24" s="23"/>
    </row>
    <row r="25" spans="1:2" ht="15.6" x14ac:dyDescent="0.3">
      <c r="A25" s="22" t="s">
        <v>27</v>
      </c>
      <c r="B25" s="23"/>
    </row>
    <row r="26" spans="1:2" ht="15.6" x14ac:dyDescent="0.3">
      <c r="A26" s="22" t="s">
        <v>28</v>
      </c>
      <c r="B26" s="23"/>
    </row>
    <row r="27" spans="1:2" ht="15.6" x14ac:dyDescent="0.3">
      <c r="A27" s="22" t="s">
        <v>29</v>
      </c>
      <c r="B27" s="23"/>
    </row>
    <row r="28" spans="1:2" ht="15.6" x14ac:dyDescent="0.3">
      <c r="A28"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05883-6796-4EBC-954F-D013A076F34D}">
  <dimension ref="A1:AB54"/>
  <sheetViews>
    <sheetView topLeftCell="T12" workbookViewId="0">
      <selection activeCell="AB35" sqref="AB35"/>
    </sheetView>
  </sheetViews>
  <sheetFormatPr baseColWidth="10" defaultColWidth="11.44140625" defaultRowHeight="14.4" x14ac:dyDescent="0.3"/>
  <cols>
    <col min="1" max="1" width="16.109375" bestFit="1" customWidth="1"/>
    <col min="2" max="2" width="2.6640625" customWidth="1"/>
    <col min="3" max="3" width="14.33203125" bestFit="1" customWidth="1"/>
    <col min="4" max="4" width="4" customWidth="1"/>
    <col min="5" max="5" width="15" customWidth="1"/>
    <col min="7" max="7" width="35.33203125" bestFit="1" customWidth="1"/>
    <col min="10" max="10" width="47.5546875" customWidth="1"/>
    <col min="11" max="11" width="34.33203125" customWidth="1"/>
    <col min="12" max="12" width="30.44140625" customWidth="1"/>
    <col min="13" max="13" width="27" customWidth="1"/>
    <col min="14" max="14" width="38.6640625" customWidth="1"/>
    <col min="15" max="15" width="55.5546875" customWidth="1"/>
    <col min="16" max="16" width="42.5546875" customWidth="1"/>
    <col min="17" max="17" width="29" customWidth="1"/>
    <col min="18" max="18" width="43.88671875" customWidth="1"/>
    <col min="19" max="19" width="40.33203125" customWidth="1"/>
    <col min="20" max="20" width="35.5546875" customWidth="1"/>
    <col min="21" max="21" width="34.33203125" customWidth="1"/>
    <col min="22" max="22" width="34.88671875" customWidth="1"/>
    <col min="25" max="25" width="33.6640625" bestFit="1" customWidth="1"/>
    <col min="28" max="28" width="35.5546875" bestFit="1" customWidth="1"/>
  </cols>
  <sheetData>
    <row r="1" spans="1:28" x14ac:dyDescent="0.3">
      <c r="A1" t="s">
        <v>30</v>
      </c>
      <c r="C1" t="s">
        <v>31</v>
      </c>
      <c r="E1" t="s">
        <v>32</v>
      </c>
      <c r="G1" t="s">
        <v>33</v>
      </c>
      <c r="J1" t="s">
        <v>34</v>
      </c>
      <c r="K1" t="s">
        <v>35</v>
      </c>
      <c r="L1" t="s">
        <v>36</v>
      </c>
      <c r="M1" t="s">
        <v>37</v>
      </c>
      <c r="N1" t="s">
        <v>38</v>
      </c>
      <c r="O1" t="s">
        <v>39</v>
      </c>
      <c r="P1" t="s">
        <v>40</v>
      </c>
      <c r="Q1" t="s">
        <v>41</v>
      </c>
      <c r="R1" t="s">
        <v>42</v>
      </c>
      <c r="S1" t="s">
        <v>43</v>
      </c>
      <c r="T1" t="s">
        <v>44</v>
      </c>
      <c r="U1" t="s">
        <v>45</v>
      </c>
      <c r="V1" t="s">
        <v>46</v>
      </c>
      <c r="Y1" t="s">
        <v>47</v>
      </c>
      <c r="AB1" t="s">
        <v>48</v>
      </c>
    </row>
    <row r="2" spans="1:28" ht="29.4" thickBot="1" x14ac:dyDescent="0.35">
      <c r="A2" t="s">
        <v>49</v>
      </c>
      <c r="C2" t="s">
        <v>50</v>
      </c>
      <c r="E2" t="s">
        <v>51</v>
      </c>
      <c r="G2" t="s">
        <v>0</v>
      </c>
      <c r="J2" s="4" t="s">
        <v>52</v>
      </c>
      <c r="K2" s="4" t="s">
        <v>53</v>
      </c>
      <c r="L2" s="2" t="s">
        <v>53</v>
      </c>
      <c r="M2" s="8" t="s">
        <v>54</v>
      </c>
      <c r="N2" s="4" t="s">
        <v>53</v>
      </c>
      <c r="O2" s="4" t="s">
        <v>53</v>
      </c>
      <c r="P2" s="4" t="s">
        <v>53</v>
      </c>
      <c r="Q2" s="2" t="s">
        <v>53</v>
      </c>
      <c r="R2" s="4" t="s">
        <v>53</v>
      </c>
      <c r="S2" s="4" t="s">
        <v>55</v>
      </c>
      <c r="T2" s="4" t="s">
        <v>55</v>
      </c>
      <c r="U2" s="9" t="s">
        <v>56</v>
      </c>
      <c r="V2" s="4" t="s">
        <v>53</v>
      </c>
      <c r="Y2" t="s">
        <v>34</v>
      </c>
      <c r="AB2" s="24" t="s">
        <v>57</v>
      </c>
    </row>
    <row r="3" spans="1:28" ht="29.4" thickBot="1" x14ac:dyDescent="0.35">
      <c r="A3" t="s">
        <v>58</v>
      </c>
      <c r="C3" t="s">
        <v>59</v>
      </c>
      <c r="E3" t="s">
        <v>60</v>
      </c>
      <c r="G3" t="s">
        <v>61</v>
      </c>
      <c r="J3" s="5" t="s">
        <v>62</v>
      </c>
      <c r="K3" s="5" t="s">
        <v>63</v>
      </c>
      <c r="L3" s="3" t="s">
        <v>64</v>
      </c>
      <c r="M3" s="7" t="s">
        <v>65</v>
      </c>
      <c r="N3" s="5" t="s">
        <v>66</v>
      </c>
      <c r="O3" s="5" t="s">
        <v>67</v>
      </c>
      <c r="P3" s="5" t="s">
        <v>67</v>
      </c>
      <c r="Q3" s="3" t="s">
        <v>68</v>
      </c>
      <c r="R3" s="5" t="s">
        <v>69</v>
      </c>
      <c r="S3" s="5" t="s">
        <v>70</v>
      </c>
      <c r="T3" s="5" t="s">
        <v>71</v>
      </c>
      <c r="U3" s="6" t="s">
        <v>65</v>
      </c>
      <c r="V3" s="5" t="s">
        <v>72</v>
      </c>
      <c r="Y3" t="s">
        <v>35</v>
      </c>
      <c r="AB3" s="24" t="s">
        <v>73</v>
      </c>
    </row>
    <row r="4" spans="1:28" ht="43.8" thickBot="1" x14ac:dyDescent="0.35">
      <c r="A4" t="s">
        <v>74</v>
      </c>
      <c r="C4" t="s">
        <v>75</v>
      </c>
      <c r="E4" t="s">
        <v>76</v>
      </c>
      <c r="G4" t="s">
        <v>77</v>
      </c>
      <c r="J4" s="5" t="s">
        <v>78</v>
      </c>
      <c r="K4" s="5" t="s">
        <v>79</v>
      </c>
      <c r="L4" s="3" t="s">
        <v>80</v>
      </c>
      <c r="N4" s="5" t="s">
        <v>81</v>
      </c>
      <c r="O4" s="5" t="s">
        <v>82</v>
      </c>
      <c r="P4" s="5" t="s">
        <v>82</v>
      </c>
      <c r="Q4" s="3" t="s">
        <v>80</v>
      </c>
      <c r="R4" s="5" t="s">
        <v>83</v>
      </c>
      <c r="S4" s="5" t="s">
        <v>84</v>
      </c>
      <c r="T4" s="5" t="s">
        <v>85</v>
      </c>
      <c r="V4" s="5" t="s">
        <v>80</v>
      </c>
      <c r="Y4" t="s">
        <v>36</v>
      </c>
      <c r="AB4" s="24" t="s">
        <v>86</v>
      </c>
    </row>
    <row r="5" spans="1:28" ht="29.4" thickBot="1" x14ac:dyDescent="0.35">
      <c r="A5" t="s">
        <v>87</v>
      </c>
      <c r="G5" t="s">
        <v>88</v>
      </c>
      <c r="J5" s="5" t="s">
        <v>89</v>
      </c>
      <c r="K5" s="5" t="s">
        <v>90</v>
      </c>
      <c r="L5" s="7" t="s">
        <v>65</v>
      </c>
      <c r="N5" s="5" t="s">
        <v>80</v>
      </c>
      <c r="O5" s="5" t="s">
        <v>91</v>
      </c>
      <c r="P5" s="5" t="s">
        <v>91</v>
      </c>
      <c r="Q5" s="7" t="s">
        <v>65</v>
      </c>
      <c r="R5" s="5" t="s">
        <v>92</v>
      </c>
      <c r="S5" s="5" t="s">
        <v>80</v>
      </c>
      <c r="T5" s="5" t="s">
        <v>80</v>
      </c>
      <c r="V5" s="6" t="s">
        <v>65</v>
      </c>
      <c r="Y5" t="s">
        <v>37</v>
      </c>
      <c r="AB5" s="24" t="s">
        <v>93</v>
      </c>
    </row>
    <row r="6" spans="1:28" ht="29.4" thickBot="1" x14ac:dyDescent="0.35">
      <c r="A6" t="s">
        <v>94</v>
      </c>
      <c r="G6" t="s">
        <v>95</v>
      </c>
      <c r="J6" s="5" t="s">
        <v>96</v>
      </c>
      <c r="K6" s="5" t="s">
        <v>97</v>
      </c>
      <c r="N6" s="6" t="s">
        <v>65</v>
      </c>
      <c r="O6" s="5" t="s">
        <v>97</v>
      </c>
      <c r="P6" s="5" t="s">
        <v>97</v>
      </c>
      <c r="R6" s="5" t="s">
        <v>80</v>
      </c>
      <c r="S6" s="6" t="s">
        <v>65</v>
      </c>
      <c r="T6" s="6" t="s">
        <v>65</v>
      </c>
      <c r="Y6" t="s">
        <v>38</v>
      </c>
      <c r="AB6" s="24" t="s">
        <v>98</v>
      </c>
    </row>
    <row r="7" spans="1:28" ht="15" thickBot="1" x14ac:dyDescent="0.35">
      <c r="G7" t="s">
        <v>99</v>
      </c>
      <c r="J7" s="5" t="s">
        <v>80</v>
      </c>
      <c r="K7" s="5" t="s">
        <v>100</v>
      </c>
      <c r="O7" s="5" t="s">
        <v>80</v>
      </c>
      <c r="P7" s="5" t="s">
        <v>80</v>
      </c>
      <c r="R7" s="6" t="s">
        <v>65</v>
      </c>
      <c r="Y7" t="s">
        <v>39</v>
      </c>
      <c r="AB7" s="24" t="s">
        <v>101</v>
      </c>
    </row>
    <row r="8" spans="1:28" ht="29.4" thickBot="1" x14ac:dyDescent="0.35">
      <c r="A8" t="s">
        <v>102</v>
      </c>
      <c r="G8" t="s">
        <v>103</v>
      </c>
      <c r="J8" s="6" t="s">
        <v>65</v>
      </c>
      <c r="K8" s="5" t="s">
        <v>80</v>
      </c>
      <c r="O8" s="6" t="s">
        <v>65</v>
      </c>
      <c r="P8" s="6" t="s">
        <v>65</v>
      </c>
      <c r="Y8" t="s">
        <v>40</v>
      </c>
      <c r="AB8" s="24" t="s">
        <v>104</v>
      </c>
    </row>
    <row r="9" spans="1:28" ht="28.8" x14ac:dyDescent="0.3">
      <c r="A9" t="s">
        <v>105</v>
      </c>
      <c r="G9" t="s">
        <v>106</v>
      </c>
      <c r="K9" s="6" t="s">
        <v>65</v>
      </c>
      <c r="Y9" t="s">
        <v>41</v>
      </c>
      <c r="AB9" s="24" t="s">
        <v>107</v>
      </c>
    </row>
    <row r="10" spans="1:28" x14ac:dyDescent="0.3">
      <c r="A10" t="s">
        <v>108</v>
      </c>
      <c r="G10" t="s">
        <v>1</v>
      </c>
      <c r="Y10" t="s">
        <v>42</v>
      </c>
      <c r="AB10" s="24" t="s">
        <v>109</v>
      </c>
    </row>
    <row r="11" spans="1:28" x14ac:dyDescent="0.3">
      <c r="G11" t="s">
        <v>110</v>
      </c>
      <c r="Y11" t="s">
        <v>43</v>
      </c>
      <c r="AB11" s="24" t="s">
        <v>111</v>
      </c>
    </row>
    <row r="12" spans="1:28" x14ac:dyDescent="0.3">
      <c r="A12" t="s">
        <v>112</v>
      </c>
      <c r="M12" t="s">
        <v>113</v>
      </c>
      <c r="Y12" t="s">
        <v>44</v>
      </c>
      <c r="AB12" s="24" t="s">
        <v>114</v>
      </c>
    </row>
    <row r="13" spans="1:28" x14ac:dyDescent="0.3">
      <c r="A13" t="s">
        <v>105</v>
      </c>
      <c r="M13" t="s">
        <v>115</v>
      </c>
      <c r="R13" t="s">
        <v>116</v>
      </c>
      <c r="Y13" t="s">
        <v>45</v>
      </c>
      <c r="AB13" s="24" t="s">
        <v>117</v>
      </c>
    </row>
    <row r="14" spans="1:28" x14ac:dyDescent="0.3">
      <c r="A14">
        <v>0</v>
      </c>
      <c r="G14" t="s">
        <v>118</v>
      </c>
      <c r="I14" t="s">
        <v>119</v>
      </c>
      <c r="K14" t="s">
        <v>120</v>
      </c>
      <c r="M14" t="s">
        <v>121</v>
      </c>
      <c r="R14" t="s">
        <v>112</v>
      </c>
      <c r="Y14" t="s">
        <v>46</v>
      </c>
      <c r="AB14" s="24" t="s">
        <v>122</v>
      </c>
    </row>
    <row r="15" spans="1:28" x14ac:dyDescent="0.3">
      <c r="G15">
        <v>0</v>
      </c>
      <c r="I15">
        <v>0</v>
      </c>
      <c r="K15">
        <v>0</v>
      </c>
      <c r="M15" t="s">
        <v>123</v>
      </c>
      <c r="Y15" t="s">
        <v>124</v>
      </c>
      <c r="AB15" s="24" t="s">
        <v>125</v>
      </c>
    </row>
    <row r="16" spans="1:28" x14ac:dyDescent="0.3">
      <c r="G16">
        <v>1</v>
      </c>
      <c r="I16">
        <v>2</v>
      </c>
      <c r="K16">
        <v>3</v>
      </c>
      <c r="AB16" s="24" t="s">
        <v>126</v>
      </c>
    </row>
    <row r="17" spans="28:28" x14ac:dyDescent="0.3">
      <c r="AB17" s="24" t="s">
        <v>127</v>
      </c>
    </row>
    <row r="18" spans="28:28" x14ac:dyDescent="0.3">
      <c r="AB18" s="24" t="s">
        <v>128</v>
      </c>
    </row>
    <row r="19" spans="28:28" x14ac:dyDescent="0.3">
      <c r="AB19" s="24" t="s">
        <v>129</v>
      </c>
    </row>
    <row r="20" spans="28:28" x14ac:dyDescent="0.3">
      <c r="AB20" s="24" t="s">
        <v>130</v>
      </c>
    </row>
    <row r="21" spans="28:28" x14ac:dyDescent="0.3">
      <c r="AB21" s="24" t="s">
        <v>131</v>
      </c>
    </row>
    <row r="22" spans="28:28" x14ac:dyDescent="0.3">
      <c r="AB22" s="24" t="s">
        <v>132</v>
      </c>
    </row>
    <row r="23" spans="28:28" x14ac:dyDescent="0.3">
      <c r="AB23" s="24" t="s">
        <v>133</v>
      </c>
    </row>
    <row r="24" spans="28:28" x14ac:dyDescent="0.3">
      <c r="AB24" s="24" t="s">
        <v>134</v>
      </c>
    </row>
    <row r="25" spans="28:28" x14ac:dyDescent="0.3">
      <c r="AB25" s="24" t="s">
        <v>135</v>
      </c>
    </row>
    <row r="26" spans="28:28" x14ac:dyDescent="0.3">
      <c r="AB26" s="24" t="s">
        <v>136</v>
      </c>
    </row>
    <row r="27" spans="28:28" x14ac:dyDescent="0.3">
      <c r="AB27" s="24" t="s">
        <v>137</v>
      </c>
    </row>
    <row r="28" spans="28:28" x14ac:dyDescent="0.3">
      <c r="AB28" s="24" t="s">
        <v>138</v>
      </c>
    </row>
    <row r="29" spans="28:28" x14ac:dyDescent="0.3">
      <c r="AB29" s="24" t="s">
        <v>139</v>
      </c>
    </row>
    <row r="30" spans="28:28" x14ac:dyDescent="0.3">
      <c r="AB30" s="24" t="s">
        <v>140</v>
      </c>
    </row>
    <row r="31" spans="28:28" x14ac:dyDescent="0.3">
      <c r="AB31" s="24" t="s">
        <v>141</v>
      </c>
    </row>
    <row r="32" spans="28:28" x14ac:dyDescent="0.3">
      <c r="AB32" s="24" t="s">
        <v>142</v>
      </c>
    </row>
    <row r="33" spans="28:28" x14ac:dyDescent="0.3">
      <c r="AB33" s="24" t="s">
        <v>143</v>
      </c>
    </row>
    <row r="34" spans="28:28" x14ac:dyDescent="0.3">
      <c r="AB34" s="24" t="s">
        <v>144</v>
      </c>
    </row>
    <row r="35" spans="28:28" x14ac:dyDescent="0.3">
      <c r="AB35" s="24" t="s">
        <v>145</v>
      </c>
    </row>
    <row r="36" spans="28:28" x14ac:dyDescent="0.3">
      <c r="AB36" s="24" t="s">
        <v>146</v>
      </c>
    </row>
    <row r="37" spans="28:28" x14ac:dyDescent="0.3">
      <c r="AB37" s="24" t="s">
        <v>147</v>
      </c>
    </row>
    <row r="38" spans="28:28" x14ac:dyDescent="0.3">
      <c r="AB38" s="24" t="s">
        <v>148</v>
      </c>
    </row>
    <row r="39" spans="28:28" x14ac:dyDescent="0.3">
      <c r="AB39" s="24" t="s">
        <v>149</v>
      </c>
    </row>
    <row r="40" spans="28:28" x14ac:dyDescent="0.3">
      <c r="AB40" s="24" t="s">
        <v>150</v>
      </c>
    </row>
    <row r="41" spans="28:28" x14ac:dyDescent="0.3">
      <c r="AB41" s="24" t="s">
        <v>151</v>
      </c>
    </row>
    <row r="42" spans="28:28" x14ac:dyDescent="0.3">
      <c r="AB42" s="24" t="s">
        <v>152</v>
      </c>
    </row>
    <row r="43" spans="28:28" x14ac:dyDescent="0.3">
      <c r="AB43" s="24" t="s">
        <v>153</v>
      </c>
    </row>
    <row r="44" spans="28:28" x14ac:dyDescent="0.3">
      <c r="AB44" s="24" t="s">
        <v>154</v>
      </c>
    </row>
    <row r="45" spans="28:28" x14ac:dyDescent="0.3">
      <c r="AB45" s="24" t="s">
        <v>155</v>
      </c>
    </row>
    <row r="46" spans="28:28" x14ac:dyDescent="0.3">
      <c r="AB46" s="24" t="s">
        <v>156</v>
      </c>
    </row>
    <row r="47" spans="28:28" x14ac:dyDescent="0.3">
      <c r="AB47" s="24" t="s">
        <v>157</v>
      </c>
    </row>
    <row r="48" spans="28:28" x14ac:dyDescent="0.3">
      <c r="AB48" s="24" t="s">
        <v>158</v>
      </c>
    </row>
    <row r="49" spans="28:28" x14ac:dyDescent="0.3">
      <c r="AB49" s="24" t="s">
        <v>159</v>
      </c>
    </row>
    <row r="50" spans="28:28" x14ac:dyDescent="0.3">
      <c r="AB50" s="24" t="s">
        <v>160</v>
      </c>
    </row>
    <row r="51" spans="28:28" x14ac:dyDescent="0.3">
      <c r="AB51" s="24" t="s">
        <v>161</v>
      </c>
    </row>
    <row r="52" spans="28:28" x14ac:dyDescent="0.3">
      <c r="AB52" s="24" t="s">
        <v>162</v>
      </c>
    </row>
    <row r="53" spans="28:28" x14ac:dyDescent="0.3">
      <c r="AB53" s="25" t="s">
        <v>163</v>
      </c>
    </row>
    <row r="54" spans="28:28" x14ac:dyDescent="0.3">
      <c r="AB54" s="25" t="s">
        <v>164</v>
      </c>
    </row>
  </sheetData>
  <pageMargins left="0.7" right="0.7" top="0.75" bottom="0.75" header="0.3" footer="0.3"/>
  <tableParts count="2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9A1A1-4178-4E29-994C-83F25C4FCD63}">
  <dimension ref="A1:AU3000"/>
  <sheetViews>
    <sheetView zoomScale="95" zoomScaleNormal="100" workbookViewId="0">
      <pane ySplit="1" topLeftCell="A2" activePane="bottomLeft" state="frozen"/>
      <selection pane="bottomLeft" activeCell="D2" sqref="D2"/>
    </sheetView>
  </sheetViews>
  <sheetFormatPr baseColWidth="10" defaultColWidth="0" defaultRowHeight="14.4" zeroHeight="1" x14ac:dyDescent="0.3"/>
  <cols>
    <col min="1" max="1" width="11.6640625" customWidth="1"/>
    <col min="2" max="2" width="15.33203125" style="1" customWidth="1"/>
    <col min="3" max="3" width="17.109375" style="10" customWidth="1"/>
    <col min="4" max="4" width="10.44140625" customWidth="1"/>
    <col min="5" max="5" width="9.44140625" customWidth="1"/>
    <col min="6" max="6" width="13.5546875" customWidth="1"/>
    <col min="7" max="7" width="16.44140625" customWidth="1"/>
    <col min="8" max="8" width="15.6640625" customWidth="1"/>
    <col min="9" max="9" width="23.44140625" customWidth="1"/>
    <col min="10" max="10" width="17.109375" customWidth="1"/>
    <col min="11" max="11" width="21.33203125" customWidth="1"/>
    <col min="12" max="12" width="15.44140625" customWidth="1"/>
    <col min="13" max="13" width="24.33203125" customWidth="1"/>
    <col min="14" max="14" width="21.5546875" customWidth="1"/>
    <col min="15" max="15" width="121.109375" style="108" customWidth="1"/>
    <col min="16" max="16" width="36.44140625" style="78" customWidth="1"/>
    <col min="17" max="17" width="32.33203125" style="35" customWidth="1"/>
    <col min="18" max="18" width="17.5546875" customWidth="1"/>
    <col min="19" max="19" width="19.6640625" customWidth="1"/>
    <col min="20" max="20" width="16.5546875" customWidth="1"/>
    <col min="21" max="21" width="28.109375" customWidth="1"/>
    <col min="22" max="22" width="23" customWidth="1"/>
    <col min="23" max="23" width="23.44140625" customWidth="1"/>
    <col min="24" max="24" width="21.5546875" customWidth="1"/>
    <col min="25" max="25" width="30.33203125" customWidth="1"/>
    <col min="26" max="26" width="23.88671875" customWidth="1"/>
    <col min="27" max="27" width="22.6640625" customWidth="1"/>
    <col min="28" max="38" width="11.44140625" customWidth="1"/>
    <col min="39" max="39" width="26.109375" bestFit="1" customWidth="1"/>
    <col min="40" max="47" width="0" hidden="1" customWidth="1"/>
    <col min="48" max="16384" width="11.44140625" hidden="1"/>
  </cols>
  <sheetData>
    <row r="1" spans="1:39" s="63" customFormat="1" ht="75" customHeight="1" x14ac:dyDescent="0.3">
      <c r="A1" s="26" t="s">
        <v>165</v>
      </c>
      <c r="B1" s="27" t="s">
        <v>166</v>
      </c>
      <c r="C1" s="81" t="s">
        <v>167</v>
      </c>
      <c r="D1" s="27" t="s">
        <v>168</v>
      </c>
      <c r="E1" s="28" t="s">
        <v>169</v>
      </c>
      <c r="F1" s="29" t="s">
        <v>170</v>
      </c>
      <c r="G1" s="31" t="s">
        <v>171</v>
      </c>
      <c r="H1" s="29" t="s">
        <v>172</v>
      </c>
      <c r="I1" s="31" t="s">
        <v>173</v>
      </c>
      <c r="J1" s="29" t="s">
        <v>174</v>
      </c>
      <c r="K1" s="31" t="s">
        <v>175</v>
      </c>
      <c r="L1" s="29" t="s">
        <v>176</v>
      </c>
      <c r="M1" s="31" t="s">
        <v>177</v>
      </c>
      <c r="N1" s="30" t="s">
        <v>178</v>
      </c>
      <c r="O1" s="29" t="s">
        <v>179</v>
      </c>
      <c r="P1" s="77" t="s">
        <v>180</v>
      </c>
      <c r="Q1" s="29" t="s">
        <v>181</v>
      </c>
      <c r="R1" s="29" t="s">
        <v>182</v>
      </c>
      <c r="S1" s="29" t="s">
        <v>183</v>
      </c>
      <c r="T1" s="29" t="s">
        <v>184</v>
      </c>
      <c r="U1" s="29" t="s">
        <v>185</v>
      </c>
      <c r="V1" s="29" t="s">
        <v>186</v>
      </c>
      <c r="W1" s="29" t="s">
        <v>187</v>
      </c>
      <c r="X1" s="29" t="s">
        <v>188</v>
      </c>
      <c r="Y1" s="29" t="s">
        <v>189</v>
      </c>
      <c r="Z1" s="71" t="s">
        <v>190</v>
      </c>
      <c r="AA1" s="71" t="s">
        <v>191</v>
      </c>
      <c r="AB1" s="29" t="s">
        <v>192</v>
      </c>
      <c r="AC1" s="29" t="s">
        <v>193</v>
      </c>
      <c r="AD1" s="29" t="s">
        <v>194</v>
      </c>
      <c r="AE1" s="29" t="s">
        <v>195</v>
      </c>
      <c r="AF1" s="29" t="s">
        <v>196</v>
      </c>
      <c r="AG1" s="29" t="s">
        <v>197</v>
      </c>
      <c r="AH1" s="29" t="s">
        <v>198</v>
      </c>
      <c r="AI1" s="29" t="s">
        <v>199</v>
      </c>
      <c r="AJ1" s="29" t="s">
        <v>200</v>
      </c>
      <c r="AK1" s="29" t="s">
        <v>201</v>
      </c>
      <c r="AL1" s="29" t="s">
        <v>202</v>
      </c>
      <c r="AM1" s="29" t="s">
        <v>203</v>
      </c>
    </row>
    <row r="2" spans="1:39" s="69" customFormat="1" ht="132" customHeight="1" x14ac:dyDescent="0.3">
      <c r="A2" s="64">
        <f>ROW() - ROW(Tabla25[[#Headers],[Columna3]]) + 1</f>
        <v>2</v>
      </c>
      <c r="B2" s="82" t="s">
        <v>0</v>
      </c>
      <c r="C2" s="72">
        <v>123456</v>
      </c>
      <c r="D2" s="65" t="str">
        <f>+IF(Tabla25[[#This Row],[Puntaje]]&gt;5,"Alto",IF(Tabla25[[#This Row],[Puntaje]]&gt;3,"Medio",IF(Tabla25[[#This Row],[Puntaje]]&gt;0,"Bajo",0)))</f>
        <v>Bajo</v>
      </c>
      <c r="E2" s="66">
        <f>+SUM(Tabla25[[#This Row],[1. Violencia física en presencia de los hijos y otros familiares  ]:[9. Vulnerabilidad de la víctima por razón de enfermedad soledad o dependencia  ]])</f>
        <v>1</v>
      </c>
      <c r="F2" s="100">
        <f>_xlfn.NUMBERVALUE(_xlfn.TEXTBEFORE(Tabla25[[#This Row],[Tipo ID]], "-", 1), ",", ".")</f>
        <v>1</v>
      </c>
      <c r="G2" s="100"/>
      <c r="H2" s="100"/>
      <c r="I2" s="100"/>
      <c r="J2" s="100"/>
      <c r="K2" s="100"/>
      <c r="L2" s="100"/>
      <c r="M2" s="100"/>
      <c r="N2" s="103"/>
      <c r="O2" s="101" t="s">
        <v>204</v>
      </c>
      <c r="P2" s="76"/>
      <c r="Q2" s="67"/>
      <c r="R2" s="100"/>
      <c r="S2" s="100"/>
      <c r="T2" s="100"/>
      <c r="U2" s="100"/>
      <c r="V2" s="100"/>
      <c r="W2" s="100"/>
      <c r="X2" s="100"/>
      <c r="Y2" s="103"/>
      <c r="Z2" s="102"/>
      <c r="AA2" s="73">
        <f>+SUM(Tabla25[[#This Row],[1. Violencia física en presencia de los hijos y otros familiares  2]:[9. Vulnerabilidad de la víctima por razón de enfermedad soledad o dependencia  10]])</f>
        <v>0</v>
      </c>
      <c r="AB2" s="62"/>
      <c r="AC2" s="62"/>
      <c r="AD2" s="62"/>
      <c r="AE2" s="62"/>
      <c r="AF2" s="62"/>
      <c r="AG2" s="62"/>
      <c r="AH2" s="62"/>
      <c r="AI2" s="62"/>
      <c r="AJ2" s="62"/>
      <c r="AK2" s="62"/>
      <c r="AL2" s="62"/>
      <c r="AM2" s="62">
        <f>+_xlfn.XLOOKUP(Tabla25[[#This Row],[Numero ID]],Tabla23[Cédula],Tabla23[Columna1],0,0,1)</f>
        <v>0</v>
      </c>
    </row>
    <row r="3" spans="1:39" x14ac:dyDescent="0.3"/>
    <row r="4" spans="1:39" x14ac:dyDescent="0.3"/>
    <row r="5" spans="1:39" x14ac:dyDescent="0.3"/>
    <row r="6" spans="1:39" x14ac:dyDescent="0.3"/>
    <row r="7" spans="1:39" x14ac:dyDescent="0.3"/>
    <row r="8" spans="1:39" x14ac:dyDescent="0.3"/>
    <row r="9" spans="1:39" x14ac:dyDescent="0.3"/>
    <row r="10" spans="1:39" x14ac:dyDescent="0.3"/>
    <row r="11" spans="1:39" x14ac:dyDescent="0.3"/>
    <row r="12" spans="1:39" x14ac:dyDescent="0.3"/>
    <row r="13" spans="1:39" x14ac:dyDescent="0.3"/>
    <row r="14" spans="1:39" x14ac:dyDescent="0.3"/>
    <row r="15" spans="1:39" x14ac:dyDescent="0.3"/>
    <row r="16" spans="1:39"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row r="852" x14ac:dyDescent="0.3"/>
    <row r="853" x14ac:dyDescent="0.3"/>
    <row r="854" x14ac:dyDescent="0.3"/>
    <row r="855" x14ac:dyDescent="0.3"/>
    <row r="856" x14ac:dyDescent="0.3"/>
    <row r="857" x14ac:dyDescent="0.3"/>
    <row r="858" x14ac:dyDescent="0.3"/>
    <row r="859" x14ac:dyDescent="0.3"/>
    <row r="860" x14ac:dyDescent="0.3"/>
    <row r="861" x14ac:dyDescent="0.3"/>
    <row r="862" x14ac:dyDescent="0.3"/>
    <row r="863" x14ac:dyDescent="0.3"/>
    <row r="864" x14ac:dyDescent="0.3"/>
    <row r="865" x14ac:dyDescent="0.3"/>
    <row r="866" x14ac:dyDescent="0.3"/>
    <row r="867" x14ac:dyDescent="0.3"/>
    <row r="868" x14ac:dyDescent="0.3"/>
    <row r="869" x14ac:dyDescent="0.3"/>
    <row r="870" x14ac:dyDescent="0.3"/>
    <row r="871" x14ac:dyDescent="0.3"/>
    <row r="872" x14ac:dyDescent="0.3"/>
    <row r="873" x14ac:dyDescent="0.3"/>
    <row r="874" x14ac:dyDescent="0.3"/>
    <row r="875" x14ac:dyDescent="0.3"/>
    <row r="876" x14ac:dyDescent="0.3"/>
    <row r="877" x14ac:dyDescent="0.3"/>
    <row r="878" x14ac:dyDescent="0.3"/>
    <row r="879" x14ac:dyDescent="0.3"/>
    <row r="880" x14ac:dyDescent="0.3"/>
    <row r="881" x14ac:dyDescent="0.3"/>
    <row r="882" x14ac:dyDescent="0.3"/>
    <row r="883" x14ac:dyDescent="0.3"/>
    <row r="884" x14ac:dyDescent="0.3"/>
    <row r="885" x14ac:dyDescent="0.3"/>
    <row r="886" x14ac:dyDescent="0.3"/>
    <row r="887" x14ac:dyDescent="0.3"/>
    <row r="888" x14ac:dyDescent="0.3"/>
    <row r="889" x14ac:dyDescent="0.3"/>
    <row r="890" x14ac:dyDescent="0.3"/>
    <row r="891" x14ac:dyDescent="0.3"/>
    <row r="892" x14ac:dyDescent="0.3"/>
    <row r="893" x14ac:dyDescent="0.3"/>
    <row r="894" x14ac:dyDescent="0.3"/>
    <row r="895" x14ac:dyDescent="0.3"/>
    <row r="896" x14ac:dyDescent="0.3"/>
    <row r="897" x14ac:dyDescent="0.3"/>
    <row r="898" x14ac:dyDescent="0.3"/>
    <row r="899" x14ac:dyDescent="0.3"/>
    <row r="900" x14ac:dyDescent="0.3"/>
    <row r="901" x14ac:dyDescent="0.3"/>
    <row r="902" x14ac:dyDescent="0.3"/>
    <row r="903" x14ac:dyDescent="0.3"/>
    <row r="904" x14ac:dyDescent="0.3"/>
    <row r="905" x14ac:dyDescent="0.3"/>
    <row r="906" x14ac:dyDescent="0.3"/>
    <row r="907" x14ac:dyDescent="0.3"/>
    <row r="908" x14ac:dyDescent="0.3"/>
    <row r="909" x14ac:dyDescent="0.3"/>
    <row r="910" x14ac:dyDescent="0.3"/>
    <row r="911" x14ac:dyDescent="0.3"/>
    <row r="912" x14ac:dyDescent="0.3"/>
    <row r="913" x14ac:dyDescent="0.3"/>
    <row r="914" x14ac:dyDescent="0.3"/>
    <row r="915" x14ac:dyDescent="0.3"/>
    <row r="916" x14ac:dyDescent="0.3"/>
    <row r="917" x14ac:dyDescent="0.3"/>
    <row r="918" x14ac:dyDescent="0.3"/>
    <row r="919" x14ac:dyDescent="0.3"/>
    <row r="920" x14ac:dyDescent="0.3"/>
    <row r="921" x14ac:dyDescent="0.3"/>
    <row r="922" x14ac:dyDescent="0.3"/>
    <row r="923" x14ac:dyDescent="0.3"/>
    <row r="924" x14ac:dyDescent="0.3"/>
    <row r="925" x14ac:dyDescent="0.3"/>
    <row r="926" x14ac:dyDescent="0.3"/>
    <row r="927" x14ac:dyDescent="0.3"/>
    <row r="928" x14ac:dyDescent="0.3"/>
    <row r="929" x14ac:dyDescent="0.3"/>
    <row r="930" x14ac:dyDescent="0.3"/>
    <row r="931" x14ac:dyDescent="0.3"/>
    <row r="932" x14ac:dyDescent="0.3"/>
    <row r="933" x14ac:dyDescent="0.3"/>
    <row r="934" x14ac:dyDescent="0.3"/>
    <row r="935" x14ac:dyDescent="0.3"/>
    <row r="936" x14ac:dyDescent="0.3"/>
    <row r="937" x14ac:dyDescent="0.3"/>
    <row r="938" x14ac:dyDescent="0.3"/>
    <row r="939" x14ac:dyDescent="0.3"/>
    <row r="940" x14ac:dyDescent="0.3"/>
    <row r="941" x14ac:dyDescent="0.3"/>
    <row r="942" x14ac:dyDescent="0.3"/>
    <row r="943" x14ac:dyDescent="0.3"/>
    <row r="944" x14ac:dyDescent="0.3"/>
    <row r="945" x14ac:dyDescent="0.3"/>
    <row r="946" x14ac:dyDescent="0.3"/>
    <row r="947" x14ac:dyDescent="0.3"/>
    <row r="948" x14ac:dyDescent="0.3"/>
    <row r="949" x14ac:dyDescent="0.3"/>
    <row r="950" x14ac:dyDescent="0.3"/>
    <row r="951" x14ac:dyDescent="0.3"/>
    <row r="952" x14ac:dyDescent="0.3"/>
    <row r="953" x14ac:dyDescent="0.3"/>
    <row r="954" x14ac:dyDescent="0.3"/>
    <row r="955" x14ac:dyDescent="0.3"/>
    <row r="956" x14ac:dyDescent="0.3"/>
    <row r="957" x14ac:dyDescent="0.3"/>
    <row r="958" x14ac:dyDescent="0.3"/>
    <row r="959" x14ac:dyDescent="0.3"/>
    <row r="960" x14ac:dyDescent="0.3"/>
    <row r="961" x14ac:dyDescent="0.3"/>
    <row r="962" x14ac:dyDescent="0.3"/>
    <row r="963" x14ac:dyDescent="0.3"/>
    <row r="964" x14ac:dyDescent="0.3"/>
    <row r="965" x14ac:dyDescent="0.3"/>
    <row r="966" x14ac:dyDescent="0.3"/>
    <row r="967" x14ac:dyDescent="0.3"/>
    <row r="968" x14ac:dyDescent="0.3"/>
    <row r="969" x14ac:dyDescent="0.3"/>
    <row r="970" x14ac:dyDescent="0.3"/>
    <row r="971" x14ac:dyDescent="0.3"/>
    <row r="972" x14ac:dyDescent="0.3"/>
    <row r="973" x14ac:dyDescent="0.3"/>
    <row r="974" x14ac:dyDescent="0.3"/>
    <row r="975" x14ac:dyDescent="0.3"/>
    <row r="976" x14ac:dyDescent="0.3"/>
    <row r="977" x14ac:dyDescent="0.3"/>
    <row r="978" x14ac:dyDescent="0.3"/>
    <row r="979" x14ac:dyDescent="0.3"/>
    <row r="980" x14ac:dyDescent="0.3"/>
    <row r="981" x14ac:dyDescent="0.3"/>
    <row r="982" x14ac:dyDescent="0.3"/>
    <row r="983" x14ac:dyDescent="0.3"/>
    <row r="984" x14ac:dyDescent="0.3"/>
    <row r="985" x14ac:dyDescent="0.3"/>
    <row r="986" x14ac:dyDescent="0.3"/>
    <row r="987" x14ac:dyDescent="0.3"/>
    <row r="988" x14ac:dyDescent="0.3"/>
    <row r="989" x14ac:dyDescent="0.3"/>
    <row r="990" x14ac:dyDescent="0.3"/>
    <row r="991" x14ac:dyDescent="0.3"/>
    <row r="992" x14ac:dyDescent="0.3"/>
    <row r="993" x14ac:dyDescent="0.3"/>
    <row r="994" x14ac:dyDescent="0.3"/>
    <row r="995" x14ac:dyDescent="0.3"/>
    <row r="996" x14ac:dyDescent="0.3"/>
    <row r="997" x14ac:dyDescent="0.3"/>
    <row r="998" x14ac:dyDescent="0.3"/>
    <row r="999" x14ac:dyDescent="0.3"/>
    <row r="1000" x14ac:dyDescent="0.3"/>
    <row r="1001" x14ac:dyDescent="0.3"/>
    <row r="1002" x14ac:dyDescent="0.3"/>
    <row r="1003" x14ac:dyDescent="0.3"/>
    <row r="1004" x14ac:dyDescent="0.3"/>
    <row r="1005" x14ac:dyDescent="0.3"/>
    <row r="1006" x14ac:dyDescent="0.3"/>
    <row r="1007" x14ac:dyDescent="0.3"/>
    <row r="1008" x14ac:dyDescent="0.3"/>
    <row r="1009" x14ac:dyDescent="0.3"/>
    <row r="1010" x14ac:dyDescent="0.3"/>
    <row r="1011" x14ac:dyDescent="0.3"/>
    <row r="1012" x14ac:dyDescent="0.3"/>
    <row r="1013" x14ac:dyDescent="0.3"/>
    <row r="1014" x14ac:dyDescent="0.3"/>
    <row r="1015" x14ac:dyDescent="0.3"/>
    <row r="1016" x14ac:dyDescent="0.3"/>
    <row r="1017" x14ac:dyDescent="0.3"/>
    <row r="1018" x14ac:dyDescent="0.3"/>
    <row r="1019" x14ac:dyDescent="0.3"/>
    <row r="1020" x14ac:dyDescent="0.3"/>
    <row r="1021" x14ac:dyDescent="0.3"/>
    <row r="1022" x14ac:dyDescent="0.3"/>
    <row r="1023" x14ac:dyDescent="0.3"/>
    <row r="1024" x14ac:dyDescent="0.3"/>
    <row r="1025" x14ac:dyDescent="0.3"/>
    <row r="1026" x14ac:dyDescent="0.3"/>
    <row r="1027" x14ac:dyDescent="0.3"/>
    <row r="1028" x14ac:dyDescent="0.3"/>
    <row r="1029" x14ac:dyDescent="0.3"/>
    <row r="1030" x14ac:dyDescent="0.3"/>
    <row r="1031" x14ac:dyDescent="0.3"/>
    <row r="1032" x14ac:dyDescent="0.3"/>
    <row r="1033" x14ac:dyDescent="0.3"/>
    <row r="1034" x14ac:dyDescent="0.3"/>
    <row r="1035" x14ac:dyDescent="0.3"/>
    <row r="1036" x14ac:dyDescent="0.3"/>
    <row r="1037" x14ac:dyDescent="0.3"/>
    <row r="1038" x14ac:dyDescent="0.3"/>
    <row r="1039" x14ac:dyDescent="0.3"/>
    <row r="1040" x14ac:dyDescent="0.3"/>
    <row r="1041" x14ac:dyDescent="0.3"/>
    <row r="1042" x14ac:dyDescent="0.3"/>
    <row r="1043" x14ac:dyDescent="0.3"/>
    <row r="1044" x14ac:dyDescent="0.3"/>
    <row r="1045" x14ac:dyDescent="0.3"/>
    <row r="1046" x14ac:dyDescent="0.3"/>
    <row r="1047" x14ac:dyDescent="0.3"/>
    <row r="1048" x14ac:dyDescent="0.3"/>
    <row r="1049" x14ac:dyDescent="0.3"/>
    <row r="1050" x14ac:dyDescent="0.3"/>
    <row r="1051" x14ac:dyDescent="0.3"/>
    <row r="1052" x14ac:dyDescent="0.3"/>
    <row r="1053" x14ac:dyDescent="0.3"/>
    <row r="1054" x14ac:dyDescent="0.3"/>
    <row r="1055" x14ac:dyDescent="0.3"/>
    <row r="1056" x14ac:dyDescent="0.3"/>
    <row r="1057" x14ac:dyDescent="0.3"/>
    <row r="1058" x14ac:dyDescent="0.3"/>
    <row r="1059" x14ac:dyDescent="0.3"/>
    <row r="1060" x14ac:dyDescent="0.3"/>
    <row r="1061" x14ac:dyDescent="0.3"/>
    <row r="1062" x14ac:dyDescent="0.3"/>
    <row r="1063" x14ac:dyDescent="0.3"/>
    <row r="1064" x14ac:dyDescent="0.3"/>
    <row r="1065" x14ac:dyDescent="0.3"/>
    <row r="1066" x14ac:dyDescent="0.3"/>
    <row r="1067" x14ac:dyDescent="0.3"/>
    <row r="1068" x14ac:dyDescent="0.3"/>
    <row r="1069" x14ac:dyDescent="0.3"/>
    <row r="1070" x14ac:dyDescent="0.3"/>
    <row r="1071" x14ac:dyDescent="0.3"/>
    <row r="1072" x14ac:dyDescent="0.3"/>
    <row r="1073" x14ac:dyDescent="0.3"/>
    <row r="1074" x14ac:dyDescent="0.3"/>
    <row r="1075" x14ac:dyDescent="0.3"/>
    <row r="1076" x14ac:dyDescent="0.3"/>
    <row r="1077" x14ac:dyDescent="0.3"/>
    <row r="1078" x14ac:dyDescent="0.3"/>
    <row r="1079" x14ac:dyDescent="0.3"/>
    <row r="1080" x14ac:dyDescent="0.3"/>
    <row r="1081" x14ac:dyDescent="0.3"/>
    <row r="1082" x14ac:dyDescent="0.3"/>
    <row r="1083" x14ac:dyDescent="0.3"/>
    <row r="1084" x14ac:dyDescent="0.3"/>
    <row r="1085" x14ac:dyDescent="0.3"/>
    <row r="1086" x14ac:dyDescent="0.3"/>
    <row r="1087" x14ac:dyDescent="0.3"/>
    <row r="1088" x14ac:dyDescent="0.3"/>
    <row r="1089" x14ac:dyDescent="0.3"/>
    <row r="1090" x14ac:dyDescent="0.3"/>
    <row r="1091" x14ac:dyDescent="0.3"/>
    <row r="1092" x14ac:dyDescent="0.3"/>
    <row r="1093" x14ac:dyDescent="0.3"/>
    <row r="1094" x14ac:dyDescent="0.3"/>
    <row r="1095" x14ac:dyDescent="0.3"/>
    <row r="1096" x14ac:dyDescent="0.3"/>
    <row r="1097" x14ac:dyDescent="0.3"/>
    <row r="1098" x14ac:dyDescent="0.3"/>
    <row r="1099" x14ac:dyDescent="0.3"/>
    <row r="1100" x14ac:dyDescent="0.3"/>
    <row r="1101" x14ac:dyDescent="0.3"/>
    <row r="1102" x14ac:dyDescent="0.3"/>
    <row r="1103" x14ac:dyDescent="0.3"/>
    <row r="1104" x14ac:dyDescent="0.3"/>
    <row r="1105" x14ac:dyDescent="0.3"/>
    <row r="1106" x14ac:dyDescent="0.3"/>
    <row r="1107" x14ac:dyDescent="0.3"/>
    <row r="1108" x14ac:dyDescent="0.3"/>
    <row r="1109" x14ac:dyDescent="0.3"/>
    <row r="1110" x14ac:dyDescent="0.3"/>
    <row r="1111" x14ac:dyDescent="0.3"/>
    <row r="1112" x14ac:dyDescent="0.3"/>
    <row r="1113" x14ac:dyDescent="0.3"/>
    <row r="1114" x14ac:dyDescent="0.3"/>
    <row r="1115" x14ac:dyDescent="0.3"/>
    <row r="1116" x14ac:dyDescent="0.3"/>
    <row r="1117" x14ac:dyDescent="0.3"/>
    <row r="1118" x14ac:dyDescent="0.3"/>
    <row r="1119" x14ac:dyDescent="0.3"/>
    <row r="1120" x14ac:dyDescent="0.3"/>
    <row r="1121" x14ac:dyDescent="0.3"/>
    <row r="1122" x14ac:dyDescent="0.3"/>
    <row r="1123" x14ac:dyDescent="0.3"/>
    <row r="1124" x14ac:dyDescent="0.3"/>
    <row r="1125" x14ac:dyDescent="0.3"/>
    <row r="1126" x14ac:dyDescent="0.3"/>
    <row r="1127" x14ac:dyDescent="0.3"/>
    <row r="1128" x14ac:dyDescent="0.3"/>
    <row r="1129" x14ac:dyDescent="0.3"/>
    <row r="1130" x14ac:dyDescent="0.3"/>
    <row r="1131" x14ac:dyDescent="0.3"/>
    <row r="1132" x14ac:dyDescent="0.3"/>
    <row r="1133" x14ac:dyDescent="0.3"/>
    <row r="1134" x14ac:dyDescent="0.3"/>
    <row r="1135" x14ac:dyDescent="0.3"/>
    <row r="1136" x14ac:dyDescent="0.3"/>
    <row r="1137" x14ac:dyDescent="0.3"/>
    <row r="1138" x14ac:dyDescent="0.3"/>
    <row r="1139" x14ac:dyDescent="0.3"/>
    <row r="1140" x14ac:dyDescent="0.3"/>
    <row r="1141" x14ac:dyDescent="0.3"/>
    <row r="1142" x14ac:dyDescent="0.3"/>
    <row r="1143" x14ac:dyDescent="0.3"/>
    <row r="1144" x14ac:dyDescent="0.3"/>
    <row r="1145" x14ac:dyDescent="0.3"/>
    <row r="1146" x14ac:dyDescent="0.3"/>
    <row r="1147" x14ac:dyDescent="0.3"/>
    <row r="1148" x14ac:dyDescent="0.3"/>
    <row r="1149" x14ac:dyDescent="0.3"/>
    <row r="1150" x14ac:dyDescent="0.3"/>
    <row r="1151" x14ac:dyDescent="0.3"/>
    <row r="1152" x14ac:dyDescent="0.3"/>
    <row r="1153" x14ac:dyDescent="0.3"/>
    <row r="1154" x14ac:dyDescent="0.3"/>
    <row r="1155" x14ac:dyDescent="0.3"/>
    <row r="1156" x14ac:dyDescent="0.3"/>
    <row r="1157" x14ac:dyDescent="0.3"/>
    <row r="1158" x14ac:dyDescent="0.3"/>
    <row r="1159" x14ac:dyDescent="0.3"/>
    <row r="1160" x14ac:dyDescent="0.3"/>
    <row r="1161" x14ac:dyDescent="0.3"/>
    <row r="1162" x14ac:dyDescent="0.3"/>
    <row r="1163" x14ac:dyDescent="0.3"/>
    <row r="1164" x14ac:dyDescent="0.3"/>
    <row r="1165" x14ac:dyDescent="0.3"/>
    <row r="1166" x14ac:dyDescent="0.3"/>
    <row r="1167" x14ac:dyDescent="0.3"/>
    <row r="1168" x14ac:dyDescent="0.3"/>
    <row r="1169" x14ac:dyDescent="0.3"/>
    <row r="1170" x14ac:dyDescent="0.3"/>
    <row r="1171" x14ac:dyDescent="0.3"/>
    <row r="1172" x14ac:dyDescent="0.3"/>
    <row r="1173" x14ac:dyDescent="0.3"/>
    <row r="1174" x14ac:dyDescent="0.3"/>
    <row r="1175" x14ac:dyDescent="0.3"/>
    <row r="1176" x14ac:dyDescent="0.3"/>
    <row r="1177" x14ac:dyDescent="0.3"/>
    <row r="1178" x14ac:dyDescent="0.3"/>
    <row r="1179" x14ac:dyDescent="0.3"/>
    <row r="1180" x14ac:dyDescent="0.3"/>
    <row r="1181" x14ac:dyDescent="0.3"/>
    <row r="1182" x14ac:dyDescent="0.3"/>
    <row r="1183" x14ac:dyDescent="0.3"/>
    <row r="1184" x14ac:dyDescent="0.3"/>
    <row r="1185" x14ac:dyDescent="0.3"/>
    <row r="1186" x14ac:dyDescent="0.3"/>
    <row r="1187" x14ac:dyDescent="0.3"/>
    <row r="1188" x14ac:dyDescent="0.3"/>
    <row r="1189" x14ac:dyDescent="0.3"/>
    <row r="1190" x14ac:dyDescent="0.3"/>
    <row r="1191" x14ac:dyDescent="0.3"/>
    <row r="1192" x14ac:dyDescent="0.3"/>
    <row r="1193" x14ac:dyDescent="0.3"/>
    <row r="1194" x14ac:dyDescent="0.3"/>
    <row r="1195" x14ac:dyDescent="0.3"/>
    <row r="1196" x14ac:dyDescent="0.3"/>
    <row r="1197" x14ac:dyDescent="0.3"/>
    <row r="1198" x14ac:dyDescent="0.3"/>
    <row r="1199" x14ac:dyDescent="0.3"/>
    <row r="1200" x14ac:dyDescent="0.3"/>
    <row r="1201" x14ac:dyDescent="0.3"/>
    <row r="1202" x14ac:dyDescent="0.3"/>
    <row r="1203" x14ac:dyDescent="0.3"/>
    <row r="1204" x14ac:dyDescent="0.3"/>
    <row r="1205" x14ac:dyDescent="0.3"/>
    <row r="1206" x14ac:dyDescent="0.3"/>
    <row r="1207" x14ac:dyDescent="0.3"/>
    <row r="1208" x14ac:dyDescent="0.3"/>
    <row r="1209" x14ac:dyDescent="0.3"/>
    <row r="1210" x14ac:dyDescent="0.3"/>
    <row r="1211" x14ac:dyDescent="0.3"/>
    <row r="1212" x14ac:dyDescent="0.3"/>
    <row r="1213" x14ac:dyDescent="0.3"/>
    <row r="1214" x14ac:dyDescent="0.3"/>
    <row r="1215" x14ac:dyDescent="0.3"/>
    <row r="1216" x14ac:dyDescent="0.3"/>
    <row r="1217" x14ac:dyDescent="0.3"/>
    <row r="1218" x14ac:dyDescent="0.3"/>
    <row r="1219" x14ac:dyDescent="0.3"/>
    <row r="1220" x14ac:dyDescent="0.3"/>
    <row r="1221" x14ac:dyDescent="0.3"/>
    <row r="1222" x14ac:dyDescent="0.3"/>
    <row r="1223" x14ac:dyDescent="0.3"/>
    <row r="1224" x14ac:dyDescent="0.3"/>
    <row r="1225" x14ac:dyDescent="0.3"/>
    <row r="1226" x14ac:dyDescent="0.3"/>
    <row r="1227" x14ac:dyDescent="0.3"/>
    <row r="1228" x14ac:dyDescent="0.3"/>
    <row r="1229" x14ac:dyDescent="0.3"/>
    <row r="1230" x14ac:dyDescent="0.3"/>
    <row r="1231" x14ac:dyDescent="0.3"/>
    <row r="1232" x14ac:dyDescent="0.3"/>
    <row r="1233" x14ac:dyDescent="0.3"/>
    <row r="1234" x14ac:dyDescent="0.3"/>
    <row r="1235" x14ac:dyDescent="0.3"/>
    <row r="1236" x14ac:dyDescent="0.3"/>
    <row r="1237" x14ac:dyDescent="0.3"/>
    <row r="1238" x14ac:dyDescent="0.3"/>
    <row r="1239" x14ac:dyDescent="0.3"/>
    <row r="1240" x14ac:dyDescent="0.3"/>
    <row r="1241" x14ac:dyDescent="0.3"/>
    <row r="1242" x14ac:dyDescent="0.3"/>
    <row r="1243" x14ac:dyDescent="0.3"/>
    <row r="1244" x14ac:dyDescent="0.3"/>
    <row r="1245" x14ac:dyDescent="0.3"/>
    <row r="1246" x14ac:dyDescent="0.3"/>
    <row r="1247" x14ac:dyDescent="0.3"/>
    <row r="1248" x14ac:dyDescent="0.3"/>
    <row r="1249" x14ac:dyDescent="0.3"/>
    <row r="1250" x14ac:dyDescent="0.3"/>
    <row r="1251" x14ac:dyDescent="0.3"/>
    <row r="1252" x14ac:dyDescent="0.3"/>
    <row r="1253" x14ac:dyDescent="0.3"/>
    <row r="1254" x14ac:dyDescent="0.3"/>
    <row r="1255" x14ac:dyDescent="0.3"/>
    <row r="1256" x14ac:dyDescent="0.3"/>
    <row r="1257" x14ac:dyDescent="0.3"/>
    <row r="1258" x14ac:dyDescent="0.3"/>
    <row r="1259" x14ac:dyDescent="0.3"/>
    <row r="1260" x14ac:dyDescent="0.3"/>
    <row r="1261" x14ac:dyDescent="0.3"/>
    <row r="1262" x14ac:dyDescent="0.3"/>
    <row r="1263" x14ac:dyDescent="0.3"/>
    <row r="1264" x14ac:dyDescent="0.3"/>
    <row r="1265" x14ac:dyDescent="0.3"/>
    <row r="1266" x14ac:dyDescent="0.3"/>
    <row r="1267" x14ac:dyDescent="0.3"/>
    <row r="1268" x14ac:dyDescent="0.3"/>
    <row r="1269" x14ac:dyDescent="0.3"/>
    <row r="1270" x14ac:dyDescent="0.3"/>
    <row r="1271" x14ac:dyDescent="0.3"/>
    <row r="1272" x14ac:dyDescent="0.3"/>
    <row r="1273" x14ac:dyDescent="0.3"/>
    <row r="1274" x14ac:dyDescent="0.3"/>
    <row r="1275" x14ac:dyDescent="0.3"/>
    <row r="1276" x14ac:dyDescent="0.3"/>
    <row r="1277" x14ac:dyDescent="0.3"/>
    <row r="1278" x14ac:dyDescent="0.3"/>
    <row r="1279" x14ac:dyDescent="0.3"/>
    <row r="1280" x14ac:dyDescent="0.3"/>
    <row r="1281" x14ac:dyDescent="0.3"/>
    <row r="1282" x14ac:dyDescent="0.3"/>
    <row r="1283" x14ac:dyDescent="0.3"/>
    <row r="1284" x14ac:dyDescent="0.3"/>
    <row r="1285" x14ac:dyDescent="0.3"/>
    <row r="1286" x14ac:dyDescent="0.3"/>
    <row r="1287" x14ac:dyDescent="0.3"/>
    <row r="1288" x14ac:dyDescent="0.3"/>
    <row r="1289" x14ac:dyDescent="0.3"/>
    <row r="1290" x14ac:dyDescent="0.3"/>
    <row r="1291" x14ac:dyDescent="0.3"/>
    <row r="1292" x14ac:dyDescent="0.3"/>
    <row r="1293" x14ac:dyDescent="0.3"/>
    <row r="1294" x14ac:dyDescent="0.3"/>
    <row r="1295" x14ac:dyDescent="0.3"/>
    <row r="1296" x14ac:dyDescent="0.3"/>
    <row r="1297" x14ac:dyDescent="0.3"/>
    <row r="1298" x14ac:dyDescent="0.3"/>
    <row r="1299" x14ac:dyDescent="0.3"/>
    <row r="1300" x14ac:dyDescent="0.3"/>
    <row r="1301" x14ac:dyDescent="0.3"/>
    <row r="1302" x14ac:dyDescent="0.3"/>
    <row r="1303" x14ac:dyDescent="0.3"/>
    <row r="1304" x14ac:dyDescent="0.3"/>
    <row r="1305" x14ac:dyDescent="0.3"/>
    <row r="1306" x14ac:dyDescent="0.3"/>
    <row r="1307" x14ac:dyDescent="0.3"/>
    <row r="1308" x14ac:dyDescent="0.3"/>
    <row r="1309" x14ac:dyDescent="0.3"/>
    <row r="1310" x14ac:dyDescent="0.3"/>
    <row r="1311" x14ac:dyDescent="0.3"/>
    <row r="1312" x14ac:dyDescent="0.3"/>
    <row r="1313" x14ac:dyDescent="0.3"/>
    <row r="1314" x14ac:dyDescent="0.3"/>
    <row r="1315" x14ac:dyDescent="0.3"/>
    <row r="1316" x14ac:dyDescent="0.3"/>
    <row r="1317" x14ac:dyDescent="0.3"/>
    <row r="1318" x14ac:dyDescent="0.3"/>
    <row r="1319" x14ac:dyDescent="0.3"/>
    <row r="1320" x14ac:dyDescent="0.3"/>
    <row r="1321" x14ac:dyDescent="0.3"/>
    <row r="1322" x14ac:dyDescent="0.3"/>
    <row r="1323" x14ac:dyDescent="0.3"/>
    <row r="1324" x14ac:dyDescent="0.3"/>
    <row r="1325" x14ac:dyDescent="0.3"/>
    <row r="1326" x14ac:dyDescent="0.3"/>
    <row r="1327" x14ac:dyDescent="0.3"/>
    <row r="1328" x14ac:dyDescent="0.3"/>
    <row r="1329" x14ac:dyDescent="0.3"/>
    <row r="1330" x14ac:dyDescent="0.3"/>
    <row r="1331" x14ac:dyDescent="0.3"/>
    <row r="1332" x14ac:dyDescent="0.3"/>
    <row r="1333" x14ac:dyDescent="0.3"/>
    <row r="1334" x14ac:dyDescent="0.3"/>
    <row r="1335" x14ac:dyDescent="0.3"/>
    <row r="1336" x14ac:dyDescent="0.3"/>
    <row r="1337" x14ac:dyDescent="0.3"/>
    <row r="1338" x14ac:dyDescent="0.3"/>
    <row r="1339" x14ac:dyDescent="0.3"/>
    <row r="1340" x14ac:dyDescent="0.3"/>
    <row r="1341" x14ac:dyDescent="0.3"/>
    <row r="1342" x14ac:dyDescent="0.3"/>
    <row r="1343" x14ac:dyDescent="0.3"/>
    <row r="1344" x14ac:dyDescent="0.3"/>
    <row r="1345" x14ac:dyDescent="0.3"/>
    <row r="1346" x14ac:dyDescent="0.3"/>
    <row r="1347" x14ac:dyDescent="0.3"/>
    <row r="1348" x14ac:dyDescent="0.3"/>
    <row r="1349" x14ac:dyDescent="0.3"/>
    <row r="1350" x14ac:dyDescent="0.3"/>
    <row r="1351" x14ac:dyDescent="0.3"/>
    <row r="1352" x14ac:dyDescent="0.3"/>
    <row r="1353" x14ac:dyDescent="0.3"/>
    <row r="1354" x14ac:dyDescent="0.3"/>
    <row r="1355" x14ac:dyDescent="0.3"/>
    <row r="1356" x14ac:dyDescent="0.3"/>
    <row r="1357" x14ac:dyDescent="0.3"/>
    <row r="1358" x14ac:dyDescent="0.3"/>
    <row r="1359" x14ac:dyDescent="0.3"/>
    <row r="1360" x14ac:dyDescent="0.3"/>
    <row r="1361" x14ac:dyDescent="0.3"/>
    <row r="1362" x14ac:dyDescent="0.3"/>
    <row r="1363" x14ac:dyDescent="0.3"/>
    <row r="1364" x14ac:dyDescent="0.3"/>
    <row r="1365" x14ac:dyDescent="0.3"/>
    <row r="1366" x14ac:dyDescent="0.3"/>
    <row r="1367" x14ac:dyDescent="0.3"/>
    <row r="1368" x14ac:dyDescent="0.3"/>
    <row r="1369" x14ac:dyDescent="0.3"/>
    <row r="1370" x14ac:dyDescent="0.3"/>
    <row r="1371" x14ac:dyDescent="0.3"/>
    <row r="1372" x14ac:dyDescent="0.3"/>
    <row r="1373" x14ac:dyDescent="0.3"/>
    <row r="1374" x14ac:dyDescent="0.3"/>
    <row r="1375" x14ac:dyDescent="0.3"/>
    <row r="1376" x14ac:dyDescent="0.3"/>
    <row r="1377" x14ac:dyDescent="0.3"/>
    <row r="1378" x14ac:dyDescent="0.3"/>
    <row r="1379" x14ac:dyDescent="0.3"/>
    <row r="1380" x14ac:dyDescent="0.3"/>
    <row r="1381" x14ac:dyDescent="0.3"/>
    <row r="1382" x14ac:dyDescent="0.3"/>
    <row r="1383" x14ac:dyDescent="0.3"/>
    <row r="1384" x14ac:dyDescent="0.3"/>
    <row r="1385" x14ac:dyDescent="0.3"/>
    <row r="1386" x14ac:dyDescent="0.3"/>
    <row r="1387" x14ac:dyDescent="0.3"/>
    <row r="1388" x14ac:dyDescent="0.3"/>
    <row r="1389" x14ac:dyDescent="0.3"/>
    <row r="1390" x14ac:dyDescent="0.3"/>
    <row r="1391" x14ac:dyDescent="0.3"/>
    <row r="1392" x14ac:dyDescent="0.3"/>
    <row r="1393" x14ac:dyDescent="0.3"/>
    <row r="1394" x14ac:dyDescent="0.3"/>
    <row r="1395" x14ac:dyDescent="0.3"/>
    <row r="1396" x14ac:dyDescent="0.3"/>
    <row r="1397" x14ac:dyDescent="0.3"/>
    <row r="1398" x14ac:dyDescent="0.3"/>
    <row r="1399" x14ac:dyDescent="0.3"/>
    <row r="1400" x14ac:dyDescent="0.3"/>
    <row r="1401" x14ac:dyDescent="0.3"/>
    <row r="1402" x14ac:dyDescent="0.3"/>
    <row r="1403" x14ac:dyDescent="0.3"/>
    <row r="1404" x14ac:dyDescent="0.3"/>
    <row r="1405" x14ac:dyDescent="0.3"/>
    <row r="1406" x14ac:dyDescent="0.3"/>
    <row r="1407" x14ac:dyDescent="0.3"/>
    <row r="1408" x14ac:dyDescent="0.3"/>
    <row r="1409" x14ac:dyDescent="0.3"/>
    <row r="1410" x14ac:dyDescent="0.3"/>
    <row r="1411" x14ac:dyDescent="0.3"/>
    <row r="1412" x14ac:dyDescent="0.3"/>
    <row r="1413" x14ac:dyDescent="0.3"/>
    <row r="1414" x14ac:dyDescent="0.3"/>
    <row r="1415" x14ac:dyDescent="0.3"/>
    <row r="1416" x14ac:dyDescent="0.3"/>
    <row r="1417" x14ac:dyDescent="0.3"/>
    <row r="1418" x14ac:dyDescent="0.3"/>
    <row r="1419" x14ac:dyDescent="0.3"/>
    <row r="1420" x14ac:dyDescent="0.3"/>
    <row r="1421" x14ac:dyDescent="0.3"/>
    <row r="1422" x14ac:dyDescent="0.3"/>
    <row r="1423" x14ac:dyDescent="0.3"/>
    <row r="1424" x14ac:dyDescent="0.3"/>
    <row r="1425" x14ac:dyDescent="0.3"/>
    <row r="1426" x14ac:dyDescent="0.3"/>
    <row r="1427" x14ac:dyDescent="0.3"/>
    <row r="1428" x14ac:dyDescent="0.3"/>
    <row r="1429" x14ac:dyDescent="0.3"/>
    <row r="1430" x14ac:dyDescent="0.3"/>
    <row r="1431" x14ac:dyDescent="0.3"/>
    <row r="1432" x14ac:dyDescent="0.3"/>
    <row r="1433" x14ac:dyDescent="0.3"/>
    <row r="1434" x14ac:dyDescent="0.3"/>
    <row r="1435" x14ac:dyDescent="0.3"/>
    <row r="1436" x14ac:dyDescent="0.3"/>
    <row r="1437" x14ac:dyDescent="0.3"/>
    <row r="1438" x14ac:dyDescent="0.3"/>
    <row r="1439" x14ac:dyDescent="0.3"/>
    <row r="1440" x14ac:dyDescent="0.3"/>
    <row r="1441" x14ac:dyDescent="0.3"/>
    <row r="1442" x14ac:dyDescent="0.3"/>
    <row r="1443" x14ac:dyDescent="0.3"/>
    <row r="1444" x14ac:dyDescent="0.3"/>
    <row r="1445" x14ac:dyDescent="0.3"/>
    <row r="1446" x14ac:dyDescent="0.3"/>
    <row r="1447" x14ac:dyDescent="0.3"/>
    <row r="1448" x14ac:dyDescent="0.3"/>
    <row r="1449" x14ac:dyDescent="0.3"/>
    <row r="1450" x14ac:dyDescent="0.3"/>
    <row r="1451" x14ac:dyDescent="0.3"/>
    <row r="1452" x14ac:dyDescent="0.3"/>
    <row r="1453" x14ac:dyDescent="0.3"/>
    <row r="1454" x14ac:dyDescent="0.3"/>
    <row r="1455" x14ac:dyDescent="0.3"/>
    <row r="1456" x14ac:dyDescent="0.3"/>
    <row r="1457" x14ac:dyDescent="0.3"/>
    <row r="1458" x14ac:dyDescent="0.3"/>
    <row r="1459" x14ac:dyDescent="0.3"/>
    <row r="1460" x14ac:dyDescent="0.3"/>
    <row r="1461" x14ac:dyDescent="0.3"/>
    <row r="1462" x14ac:dyDescent="0.3"/>
    <row r="1463" x14ac:dyDescent="0.3"/>
    <row r="1464" x14ac:dyDescent="0.3"/>
    <row r="1465" x14ac:dyDescent="0.3"/>
    <row r="1466" x14ac:dyDescent="0.3"/>
    <row r="1467" x14ac:dyDescent="0.3"/>
    <row r="1468" x14ac:dyDescent="0.3"/>
    <row r="1469" x14ac:dyDescent="0.3"/>
    <row r="1470" x14ac:dyDescent="0.3"/>
    <row r="1471" x14ac:dyDescent="0.3"/>
    <row r="1472" x14ac:dyDescent="0.3"/>
    <row r="1473" x14ac:dyDescent="0.3"/>
    <row r="1474" x14ac:dyDescent="0.3"/>
    <row r="1475" x14ac:dyDescent="0.3"/>
    <row r="1476" x14ac:dyDescent="0.3"/>
    <row r="1477" x14ac:dyDescent="0.3"/>
    <row r="1478" x14ac:dyDescent="0.3"/>
    <row r="1479" x14ac:dyDescent="0.3"/>
    <row r="1480" x14ac:dyDescent="0.3"/>
    <row r="1481" x14ac:dyDescent="0.3"/>
    <row r="1482" x14ac:dyDescent="0.3"/>
    <row r="1483" x14ac:dyDescent="0.3"/>
    <row r="1484" x14ac:dyDescent="0.3"/>
    <row r="1485" x14ac:dyDescent="0.3"/>
    <row r="1486" x14ac:dyDescent="0.3"/>
    <row r="1487" x14ac:dyDescent="0.3"/>
    <row r="1488" x14ac:dyDescent="0.3"/>
    <row r="1489" x14ac:dyDescent="0.3"/>
    <row r="1490" x14ac:dyDescent="0.3"/>
    <row r="1491" x14ac:dyDescent="0.3"/>
    <row r="1492" x14ac:dyDescent="0.3"/>
    <row r="1493" x14ac:dyDescent="0.3"/>
    <row r="1494" x14ac:dyDescent="0.3"/>
    <row r="1495" x14ac:dyDescent="0.3"/>
    <row r="1496" x14ac:dyDescent="0.3"/>
    <row r="1497" x14ac:dyDescent="0.3"/>
    <row r="1498" x14ac:dyDescent="0.3"/>
    <row r="1499" x14ac:dyDescent="0.3"/>
    <row r="1500" x14ac:dyDescent="0.3"/>
    <row r="1501" x14ac:dyDescent="0.3"/>
    <row r="1502" x14ac:dyDescent="0.3"/>
    <row r="1503" x14ac:dyDescent="0.3"/>
    <row r="1504" x14ac:dyDescent="0.3"/>
    <row r="1505" x14ac:dyDescent="0.3"/>
    <row r="1506" x14ac:dyDescent="0.3"/>
    <row r="1507" x14ac:dyDescent="0.3"/>
    <row r="1508" x14ac:dyDescent="0.3"/>
    <row r="1509" x14ac:dyDescent="0.3"/>
    <row r="1510" x14ac:dyDescent="0.3"/>
    <row r="1511" x14ac:dyDescent="0.3"/>
    <row r="1512" x14ac:dyDescent="0.3"/>
    <row r="1513" x14ac:dyDescent="0.3"/>
    <row r="1514" x14ac:dyDescent="0.3"/>
    <row r="1515" x14ac:dyDescent="0.3"/>
    <row r="1516" x14ac:dyDescent="0.3"/>
    <row r="1517" x14ac:dyDescent="0.3"/>
    <row r="1518" x14ac:dyDescent="0.3"/>
    <row r="1519" x14ac:dyDescent="0.3"/>
    <row r="1520" x14ac:dyDescent="0.3"/>
    <row r="1521" x14ac:dyDescent="0.3"/>
    <row r="1522" x14ac:dyDescent="0.3"/>
    <row r="1523" x14ac:dyDescent="0.3"/>
    <row r="1524" x14ac:dyDescent="0.3"/>
    <row r="1525" x14ac:dyDescent="0.3"/>
    <row r="1526" x14ac:dyDescent="0.3"/>
    <row r="1527" x14ac:dyDescent="0.3"/>
    <row r="1528" x14ac:dyDescent="0.3"/>
    <row r="1529" x14ac:dyDescent="0.3"/>
    <row r="1530" x14ac:dyDescent="0.3"/>
    <row r="1531" x14ac:dyDescent="0.3"/>
    <row r="1532" x14ac:dyDescent="0.3"/>
    <row r="1533" x14ac:dyDescent="0.3"/>
    <row r="1534" x14ac:dyDescent="0.3"/>
    <row r="1535" x14ac:dyDescent="0.3"/>
    <row r="1536" x14ac:dyDescent="0.3"/>
    <row r="1537" x14ac:dyDescent="0.3"/>
    <row r="1538" x14ac:dyDescent="0.3"/>
    <row r="1539" x14ac:dyDescent="0.3"/>
    <row r="1540" x14ac:dyDescent="0.3"/>
    <row r="1541" x14ac:dyDescent="0.3"/>
    <row r="1542" x14ac:dyDescent="0.3"/>
    <row r="1543" x14ac:dyDescent="0.3"/>
    <row r="1544" x14ac:dyDescent="0.3"/>
    <row r="1545" x14ac:dyDescent="0.3"/>
    <row r="1546" x14ac:dyDescent="0.3"/>
    <row r="1547" x14ac:dyDescent="0.3"/>
    <row r="1548" x14ac:dyDescent="0.3"/>
    <row r="1549" x14ac:dyDescent="0.3"/>
    <row r="1550" x14ac:dyDescent="0.3"/>
    <row r="1551" x14ac:dyDescent="0.3"/>
    <row r="1552" x14ac:dyDescent="0.3"/>
    <row r="1553" x14ac:dyDescent="0.3"/>
    <row r="1554" x14ac:dyDescent="0.3"/>
    <row r="1555" x14ac:dyDescent="0.3"/>
    <row r="1556" x14ac:dyDescent="0.3"/>
    <row r="1557" x14ac:dyDescent="0.3"/>
    <row r="1558" x14ac:dyDescent="0.3"/>
    <row r="1559" x14ac:dyDescent="0.3"/>
    <row r="1560" x14ac:dyDescent="0.3"/>
    <row r="1561" x14ac:dyDescent="0.3"/>
    <row r="1562" x14ac:dyDescent="0.3"/>
    <row r="1563" x14ac:dyDescent="0.3"/>
    <row r="1564" x14ac:dyDescent="0.3"/>
    <row r="1565" x14ac:dyDescent="0.3"/>
    <row r="1566" x14ac:dyDescent="0.3"/>
    <row r="1567" x14ac:dyDescent="0.3"/>
    <row r="1568" x14ac:dyDescent="0.3"/>
    <row r="1569" x14ac:dyDescent="0.3"/>
    <row r="1570" x14ac:dyDescent="0.3"/>
    <row r="1571" x14ac:dyDescent="0.3"/>
    <row r="1572" x14ac:dyDescent="0.3"/>
    <row r="1573" x14ac:dyDescent="0.3"/>
    <row r="1574" x14ac:dyDescent="0.3"/>
    <row r="1575" x14ac:dyDescent="0.3"/>
    <row r="1576" x14ac:dyDescent="0.3"/>
    <row r="1577" x14ac:dyDescent="0.3"/>
    <row r="1578" x14ac:dyDescent="0.3"/>
    <row r="1579" x14ac:dyDescent="0.3"/>
    <row r="1580" x14ac:dyDescent="0.3"/>
    <row r="1581" x14ac:dyDescent="0.3"/>
    <row r="1582" x14ac:dyDescent="0.3"/>
    <row r="1583" x14ac:dyDescent="0.3"/>
    <row r="1584" x14ac:dyDescent="0.3"/>
    <row r="1585" x14ac:dyDescent="0.3"/>
    <row r="1586" x14ac:dyDescent="0.3"/>
    <row r="1587" x14ac:dyDescent="0.3"/>
    <row r="1588" x14ac:dyDescent="0.3"/>
    <row r="1589" x14ac:dyDescent="0.3"/>
    <row r="1590" x14ac:dyDescent="0.3"/>
    <row r="1591" x14ac:dyDescent="0.3"/>
    <row r="1592" x14ac:dyDescent="0.3"/>
    <row r="1593" x14ac:dyDescent="0.3"/>
    <row r="1594" x14ac:dyDescent="0.3"/>
    <row r="1595" x14ac:dyDescent="0.3"/>
    <row r="1596" x14ac:dyDescent="0.3"/>
    <row r="1597" x14ac:dyDescent="0.3"/>
    <row r="1598" x14ac:dyDescent="0.3"/>
    <row r="1599" x14ac:dyDescent="0.3"/>
    <row r="1600" x14ac:dyDescent="0.3"/>
    <row r="1601" x14ac:dyDescent="0.3"/>
    <row r="1602" x14ac:dyDescent="0.3"/>
    <row r="1603" x14ac:dyDescent="0.3"/>
    <row r="1604" x14ac:dyDescent="0.3"/>
    <row r="1605" x14ac:dyDescent="0.3"/>
    <row r="1606" x14ac:dyDescent="0.3"/>
    <row r="1607" x14ac:dyDescent="0.3"/>
    <row r="1608" x14ac:dyDescent="0.3"/>
    <row r="1609" x14ac:dyDescent="0.3"/>
    <row r="1610" x14ac:dyDescent="0.3"/>
    <row r="1611" x14ac:dyDescent="0.3"/>
    <row r="1612" x14ac:dyDescent="0.3"/>
    <row r="1613" x14ac:dyDescent="0.3"/>
    <row r="1614" x14ac:dyDescent="0.3"/>
    <row r="1615" x14ac:dyDescent="0.3"/>
    <row r="1616" x14ac:dyDescent="0.3"/>
    <row r="1617" x14ac:dyDescent="0.3"/>
    <row r="1618" x14ac:dyDescent="0.3"/>
    <row r="1619" x14ac:dyDescent="0.3"/>
    <row r="1620" x14ac:dyDescent="0.3"/>
    <row r="1621" x14ac:dyDescent="0.3"/>
    <row r="1622" x14ac:dyDescent="0.3"/>
    <row r="1623" x14ac:dyDescent="0.3"/>
    <row r="1624" x14ac:dyDescent="0.3"/>
    <row r="1625" x14ac:dyDescent="0.3"/>
    <row r="1626" x14ac:dyDescent="0.3"/>
    <row r="1627" x14ac:dyDescent="0.3"/>
    <row r="1628" x14ac:dyDescent="0.3"/>
    <row r="1629" x14ac:dyDescent="0.3"/>
    <row r="1630" x14ac:dyDescent="0.3"/>
    <row r="1631" x14ac:dyDescent="0.3"/>
    <row r="1632" x14ac:dyDescent="0.3"/>
    <row r="1633" x14ac:dyDescent="0.3"/>
    <row r="1634" x14ac:dyDescent="0.3"/>
    <row r="1635" x14ac:dyDescent="0.3"/>
    <row r="1636" x14ac:dyDescent="0.3"/>
    <row r="1637" x14ac:dyDescent="0.3"/>
    <row r="1638" x14ac:dyDescent="0.3"/>
    <row r="1639" x14ac:dyDescent="0.3"/>
    <row r="1640" x14ac:dyDescent="0.3"/>
    <row r="1641" x14ac:dyDescent="0.3"/>
    <row r="1642" x14ac:dyDescent="0.3"/>
    <row r="1643" x14ac:dyDescent="0.3"/>
    <row r="1644" x14ac:dyDescent="0.3"/>
    <row r="1645" x14ac:dyDescent="0.3"/>
    <row r="1646" x14ac:dyDescent="0.3"/>
    <row r="1647" x14ac:dyDescent="0.3"/>
    <row r="1648" x14ac:dyDescent="0.3"/>
    <row r="1649" x14ac:dyDescent="0.3"/>
    <row r="1650" x14ac:dyDescent="0.3"/>
    <row r="1651" x14ac:dyDescent="0.3"/>
    <row r="1652" x14ac:dyDescent="0.3"/>
    <row r="1653" x14ac:dyDescent="0.3"/>
    <row r="1654" x14ac:dyDescent="0.3"/>
    <row r="1655" x14ac:dyDescent="0.3"/>
    <row r="1656" x14ac:dyDescent="0.3"/>
    <row r="1657" x14ac:dyDescent="0.3"/>
    <row r="1658" x14ac:dyDescent="0.3"/>
    <row r="1659" x14ac:dyDescent="0.3"/>
    <row r="1660" x14ac:dyDescent="0.3"/>
    <row r="1661" x14ac:dyDescent="0.3"/>
    <row r="1662" x14ac:dyDescent="0.3"/>
    <row r="1663" x14ac:dyDescent="0.3"/>
    <row r="1664" x14ac:dyDescent="0.3"/>
    <row r="1665" x14ac:dyDescent="0.3"/>
    <row r="1666" x14ac:dyDescent="0.3"/>
    <row r="1667" x14ac:dyDescent="0.3"/>
    <row r="1668" x14ac:dyDescent="0.3"/>
    <row r="1669" x14ac:dyDescent="0.3"/>
    <row r="1670" x14ac:dyDescent="0.3"/>
    <row r="1671" x14ac:dyDescent="0.3"/>
    <row r="1672" x14ac:dyDescent="0.3"/>
    <row r="1673" x14ac:dyDescent="0.3"/>
    <row r="1674" x14ac:dyDescent="0.3"/>
    <row r="1675" x14ac:dyDescent="0.3"/>
    <row r="1676" x14ac:dyDescent="0.3"/>
    <row r="1677" x14ac:dyDescent="0.3"/>
    <row r="1678" x14ac:dyDescent="0.3"/>
    <row r="1679" x14ac:dyDescent="0.3"/>
    <row r="1680" x14ac:dyDescent="0.3"/>
    <row r="1681" x14ac:dyDescent="0.3"/>
    <row r="1682" x14ac:dyDescent="0.3"/>
    <row r="1683" x14ac:dyDescent="0.3"/>
    <row r="1684" x14ac:dyDescent="0.3"/>
    <row r="1685" x14ac:dyDescent="0.3"/>
    <row r="1686" x14ac:dyDescent="0.3"/>
    <row r="1687" x14ac:dyDescent="0.3"/>
    <row r="1688" x14ac:dyDescent="0.3"/>
    <row r="1689" x14ac:dyDescent="0.3"/>
    <row r="1690" x14ac:dyDescent="0.3"/>
    <row r="1691" x14ac:dyDescent="0.3"/>
    <row r="1692" x14ac:dyDescent="0.3"/>
    <row r="1693" x14ac:dyDescent="0.3"/>
    <row r="1694" x14ac:dyDescent="0.3"/>
    <row r="1695" x14ac:dyDescent="0.3"/>
    <row r="1696" x14ac:dyDescent="0.3"/>
    <row r="1697" x14ac:dyDescent="0.3"/>
    <row r="1698" x14ac:dyDescent="0.3"/>
    <row r="1699" x14ac:dyDescent="0.3"/>
    <row r="1700" x14ac:dyDescent="0.3"/>
    <row r="1701" x14ac:dyDescent="0.3"/>
    <row r="1702" x14ac:dyDescent="0.3"/>
    <row r="1703" x14ac:dyDescent="0.3"/>
    <row r="1704" x14ac:dyDescent="0.3"/>
    <row r="1705" x14ac:dyDescent="0.3"/>
    <row r="1706" x14ac:dyDescent="0.3"/>
    <row r="1707" x14ac:dyDescent="0.3"/>
    <row r="1708" x14ac:dyDescent="0.3"/>
    <row r="1709" x14ac:dyDescent="0.3"/>
    <row r="1710" x14ac:dyDescent="0.3"/>
    <row r="1711" x14ac:dyDescent="0.3"/>
    <row r="1712" x14ac:dyDescent="0.3"/>
    <row r="1713" x14ac:dyDescent="0.3"/>
    <row r="1714" x14ac:dyDescent="0.3"/>
    <row r="1715" x14ac:dyDescent="0.3"/>
    <row r="1716" x14ac:dyDescent="0.3"/>
    <row r="1717" x14ac:dyDescent="0.3"/>
    <row r="1718" x14ac:dyDescent="0.3"/>
    <row r="1719" x14ac:dyDescent="0.3"/>
    <row r="1720" x14ac:dyDescent="0.3"/>
    <row r="1721" x14ac:dyDescent="0.3"/>
    <row r="1722" x14ac:dyDescent="0.3"/>
    <row r="1723" x14ac:dyDescent="0.3"/>
    <row r="1724" x14ac:dyDescent="0.3"/>
    <row r="1725" x14ac:dyDescent="0.3"/>
    <row r="1726" x14ac:dyDescent="0.3"/>
    <row r="1727" x14ac:dyDescent="0.3"/>
    <row r="1728" x14ac:dyDescent="0.3"/>
    <row r="1729" x14ac:dyDescent="0.3"/>
    <row r="1730" x14ac:dyDescent="0.3"/>
    <row r="1731" x14ac:dyDescent="0.3"/>
    <row r="1732" x14ac:dyDescent="0.3"/>
    <row r="1733" x14ac:dyDescent="0.3"/>
    <row r="1734" x14ac:dyDescent="0.3"/>
    <row r="1735" x14ac:dyDescent="0.3"/>
    <row r="1736" x14ac:dyDescent="0.3"/>
    <row r="1737" x14ac:dyDescent="0.3"/>
    <row r="1738" x14ac:dyDescent="0.3"/>
    <row r="1739" x14ac:dyDescent="0.3"/>
    <row r="1740" x14ac:dyDescent="0.3"/>
    <row r="1741" x14ac:dyDescent="0.3"/>
    <row r="1742" x14ac:dyDescent="0.3"/>
    <row r="1743" x14ac:dyDescent="0.3"/>
    <row r="1744" x14ac:dyDescent="0.3"/>
    <row r="1745" x14ac:dyDescent="0.3"/>
    <row r="1746" x14ac:dyDescent="0.3"/>
    <row r="1747" x14ac:dyDescent="0.3"/>
    <row r="1748" x14ac:dyDescent="0.3"/>
    <row r="1749" x14ac:dyDescent="0.3"/>
    <row r="1750" x14ac:dyDescent="0.3"/>
    <row r="1751" x14ac:dyDescent="0.3"/>
    <row r="1752" x14ac:dyDescent="0.3"/>
    <row r="1753" x14ac:dyDescent="0.3"/>
    <row r="1754" x14ac:dyDescent="0.3"/>
    <row r="1755" x14ac:dyDescent="0.3"/>
    <row r="1756" x14ac:dyDescent="0.3"/>
    <row r="1757" x14ac:dyDescent="0.3"/>
    <row r="1758" x14ac:dyDescent="0.3"/>
    <row r="1759" x14ac:dyDescent="0.3"/>
    <row r="1760" x14ac:dyDescent="0.3"/>
    <row r="1761" x14ac:dyDescent="0.3"/>
    <row r="1762" x14ac:dyDescent="0.3"/>
    <row r="1763" x14ac:dyDescent="0.3"/>
    <row r="1764" x14ac:dyDescent="0.3"/>
    <row r="1765" x14ac:dyDescent="0.3"/>
    <row r="1766" x14ac:dyDescent="0.3"/>
    <row r="1767" x14ac:dyDescent="0.3"/>
    <row r="1768" x14ac:dyDescent="0.3"/>
    <row r="1769" x14ac:dyDescent="0.3"/>
    <row r="1770" x14ac:dyDescent="0.3"/>
    <row r="1771" x14ac:dyDescent="0.3"/>
    <row r="1772" x14ac:dyDescent="0.3"/>
    <row r="1773" x14ac:dyDescent="0.3"/>
    <row r="1774" x14ac:dyDescent="0.3"/>
    <row r="1775" x14ac:dyDescent="0.3"/>
    <row r="1776" x14ac:dyDescent="0.3"/>
    <row r="1777" x14ac:dyDescent="0.3"/>
    <row r="1778" x14ac:dyDescent="0.3"/>
    <row r="1779" x14ac:dyDescent="0.3"/>
    <row r="1780" x14ac:dyDescent="0.3"/>
    <row r="1781" x14ac:dyDescent="0.3"/>
    <row r="1782" x14ac:dyDescent="0.3"/>
    <row r="1783" x14ac:dyDescent="0.3"/>
    <row r="1784" x14ac:dyDescent="0.3"/>
    <row r="1785" x14ac:dyDescent="0.3"/>
    <row r="1786" x14ac:dyDescent="0.3"/>
    <row r="1787" x14ac:dyDescent="0.3"/>
    <row r="1788" x14ac:dyDescent="0.3"/>
    <row r="1789" x14ac:dyDescent="0.3"/>
    <row r="1790" x14ac:dyDescent="0.3"/>
    <row r="1791" x14ac:dyDescent="0.3"/>
    <row r="1792" x14ac:dyDescent="0.3"/>
    <row r="1793" x14ac:dyDescent="0.3"/>
    <row r="1794" x14ac:dyDescent="0.3"/>
    <row r="1795" x14ac:dyDescent="0.3"/>
    <row r="1796" x14ac:dyDescent="0.3"/>
    <row r="1797" x14ac:dyDescent="0.3"/>
    <row r="1798" x14ac:dyDescent="0.3"/>
    <row r="1799" x14ac:dyDescent="0.3"/>
    <row r="1800" x14ac:dyDescent="0.3"/>
    <row r="1801" x14ac:dyDescent="0.3"/>
    <row r="1802" x14ac:dyDescent="0.3"/>
    <row r="1803" x14ac:dyDescent="0.3"/>
    <row r="1804" x14ac:dyDescent="0.3"/>
    <row r="1805" x14ac:dyDescent="0.3"/>
    <row r="1806" x14ac:dyDescent="0.3"/>
    <row r="1807" x14ac:dyDescent="0.3"/>
    <row r="1808" x14ac:dyDescent="0.3"/>
    <row r="1809" x14ac:dyDescent="0.3"/>
    <row r="1810" x14ac:dyDescent="0.3"/>
    <row r="1811" x14ac:dyDescent="0.3"/>
    <row r="1812" x14ac:dyDescent="0.3"/>
    <row r="1813" x14ac:dyDescent="0.3"/>
    <row r="1814" x14ac:dyDescent="0.3"/>
    <row r="1815" x14ac:dyDescent="0.3"/>
    <row r="1816" x14ac:dyDescent="0.3"/>
    <row r="1817" x14ac:dyDescent="0.3"/>
    <row r="1818" x14ac:dyDescent="0.3"/>
    <row r="1819" x14ac:dyDescent="0.3"/>
    <row r="1820" x14ac:dyDescent="0.3"/>
    <row r="1821" x14ac:dyDescent="0.3"/>
    <row r="1822" x14ac:dyDescent="0.3"/>
    <row r="1823" x14ac:dyDescent="0.3"/>
    <row r="1824" x14ac:dyDescent="0.3"/>
    <row r="1825" x14ac:dyDescent="0.3"/>
    <row r="1826" x14ac:dyDescent="0.3"/>
    <row r="1827" x14ac:dyDescent="0.3"/>
    <row r="1828" x14ac:dyDescent="0.3"/>
    <row r="1829" x14ac:dyDescent="0.3"/>
    <row r="1830" x14ac:dyDescent="0.3"/>
    <row r="1831" x14ac:dyDescent="0.3"/>
    <row r="1832" x14ac:dyDescent="0.3"/>
    <row r="1833" x14ac:dyDescent="0.3"/>
    <row r="1834" x14ac:dyDescent="0.3"/>
    <row r="1835" x14ac:dyDescent="0.3"/>
    <row r="1836" x14ac:dyDescent="0.3"/>
    <row r="1837" x14ac:dyDescent="0.3"/>
    <row r="1838" x14ac:dyDescent="0.3"/>
    <row r="1839" x14ac:dyDescent="0.3"/>
    <row r="1840" x14ac:dyDescent="0.3"/>
    <row r="1841" x14ac:dyDescent="0.3"/>
    <row r="1842" x14ac:dyDescent="0.3"/>
    <row r="1843" x14ac:dyDescent="0.3"/>
    <row r="1844" x14ac:dyDescent="0.3"/>
    <row r="1845" x14ac:dyDescent="0.3"/>
    <row r="1846" x14ac:dyDescent="0.3"/>
    <row r="1847" x14ac:dyDescent="0.3"/>
    <row r="1848" x14ac:dyDescent="0.3"/>
    <row r="1849" x14ac:dyDescent="0.3"/>
    <row r="1850" x14ac:dyDescent="0.3"/>
    <row r="1851" x14ac:dyDescent="0.3"/>
    <row r="1852" x14ac:dyDescent="0.3"/>
    <row r="1853" x14ac:dyDescent="0.3"/>
    <row r="1854" x14ac:dyDescent="0.3"/>
    <row r="1855" x14ac:dyDescent="0.3"/>
    <row r="1856" x14ac:dyDescent="0.3"/>
    <row r="1857" x14ac:dyDescent="0.3"/>
    <row r="1858" x14ac:dyDescent="0.3"/>
    <row r="1859" x14ac:dyDescent="0.3"/>
    <row r="1860" x14ac:dyDescent="0.3"/>
    <row r="1861" x14ac:dyDescent="0.3"/>
    <row r="1862" x14ac:dyDescent="0.3"/>
    <row r="1863" x14ac:dyDescent="0.3"/>
    <row r="1864" x14ac:dyDescent="0.3"/>
    <row r="1865" x14ac:dyDescent="0.3"/>
    <row r="1866" x14ac:dyDescent="0.3"/>
    <row r="1867" x14ac:dyDescent="0.3"/>
    <row r="1868" x14ac:dyDescent="0.3"/>
    <row r="1869" x14ac:dyDescent="0.3"/>
    <row r="1870" x14ac:dyDescent="0.3"/>
    <row r="1871" x14ac:dyDescent="0.3"/>
    <row r="1872" x14ac:dyDescent="0.3"/>
    <row r="1873" x14ac:dyDescent="0.3"/>
    <row r="1874" x14ac:dyDescent="0.3"/>
    <row r="1875" x14ac:dyDescent="0.3"/>
    <row r="1876" x14ac:dyDescent="0.3"/>
    <row r="1877" x14ac:dyDescent="0.3"/>
    <row r="1878" x14ac:dyDescent="0.3"/>
    <row r="1879" x14ac:dyDescent="0.3"/>
    <row r="1880" x14ac:dyDescent="0.3"/>
    <row r="1881" x14ac:dyDescent="0.3"/>
    <row r="1882" x14ac:dyDescent="0.3"/>
    <row r="1883" x14ac:dyDescent="0.3"/>
    <row r="1884" x14ac:dyDescent="0.3"/>
    <row r="1885" x14ac:dyDescent="0.3"/>
    <row r="1886" x14ac:dyDescent="0.3"/>
    <row r="1887" x14ac:dyDescent="0.3"/>
    <row r="1888" x14ac:dyDescent="0.3"/>
    <row r="1889" x14ac:dyDescent="0.3"/>
    <row r="1890" x14ac:dyDescent="0.3"/>
    <row r="1891" x14ac:dyDescent="0.3"/>
    <row r="1892" x14ac:dyDescent="0.3"/>
    <row r="1893" x14ac:dyDescent="0.3"/>
    <row r="1894" x14ac:dyDescent="0.3"/>
    <row r="1895" x14ac:dyDescent="0.3"/>
    <row r="1896" x14ac:dyDescent="0.3"/>
    <row r="1897" x14ac:dyDescent="0.3"/>
    <row r="1898" x14ac:dyDescent="0.3"/>
    <row r="1899" x14ac:dyDescent="0.3"/>
    <row r="1900" x14ac:dyDescent="0.3"/>
    <row r="1901" x14ac:dyDescent="0.3"/>
    <row r="1902" x14ac:dyDescent="0.3"/>
    <row r="1903" x14ac:dyDescent="0.3"/>
    <row r="1904" x14ac:dyDescent="0.3"/>
    <row r="1905" x14ac:dyDescent="0.3"/>
    <row r="1906" x14ac:dyDescent="0.3"/>
    <row r="1907" x14ac:dyDescent="0.3"/>
    <row r="1908" x14ac:dyDescent="0.3"/>
    <row r="1909" x14ac:dyDescent="0.3"/>
    <row r="1910" x14ac:dyDescent="0.3"/>
    <row r="1911" x14ac:dyDescent="0.3"/>
    <row r="1912" x14ac:dyDescent="0.3"/>
    <row r="1913" x14ac:dyDescent="0.3"/>
    <row r="1914" x14ac:dyDescent="0.3"/>
    <row r="1915" x14ac:dyDescent="0.3"/>
    <row r="1916" x14ac:dyDescent="0.3"/>
    <row r="1917" x14ac:dyDescent="0.3"/>
    <row r="1918" x14ac:dyDescent="0.3"/>
    <row r="1919" x14ac:dyDescent="0.3"/>
    <row r="1920" x14ac:dyDescent="0.3"/>
    <row r="1921" x14ac:dyDescent="0.3"/>
    <row r="1922" x14ac:dyDescent="0.3"/>
    <row r="1923" x14ac:dyDescent="0.3"/>
    <row r="1924" x14ac:dyDescent="0.3"/>
    <row r="1925" x14ac:dyDescent="0.3"/>
    <row r="1926" x14ac:dyDescent="0.3"/>
    <row r="1927" x14ac:dyDescent="0.3"/>
    <row r="1928" x14ac:dyDescent="0.3"/>
    <row r="1929" x14ac:dyDescent="0.3"/>
    <row r="1930" x14ac:dyDescent="0.3"/>
    <row r="1931" x14ac:dyDescent="0.3"/>
    <row r="1932" x14ac:dyDescent="0.3"/>
    <row r="1933" x14ac:dyDescent="0.3"/>
    <row r="1934" x14ac:dyDescent="0.3"/>
    <row r="1935" x14ac:dyDescent="0.3"/>
    <row r="1936" x14ac:dyDescent="0.3"/>
    <row r="1937" x14ac:dyDescent="0.3"/>
    <row r="1938" x14ac:dyDescent="0.3"/>
    <row r="1939" x14ac:dyDescent="0.3"/>
    <row r="1940" x14ac:dyDescent="0.3"/>
    <row r="1941" x14ac:dyDescent="0.3"/>
    <row r="1942" x14ac:dyDescent="0.3"/>
    <row r="1943" x14ac:dyDescent="0.3"/>
    <row r="1944" x14ac:dyDescent="0.3"/>
    <row r="1945" x14ac:dyDescent="0.3"/>
    <row r="1946" x14ac:dyDescent="0.3"/>
    <row r="1947" x14ac:dyDescent="0.3"/>
    <row r="1948" x14ac:dyDescent="0.3"/>
    <row r="1949" x14ac:dyDescent="0.3"/>
    <row r="1950" x14ac:dyDescent="0.3"/>
    <row r="1951" x14ac:dyDescent="0.3"/>
    <row r="1952" x14ac:dyDescent="0.3"/>
    <row r="1953" x14ac:dyDescent="0.3"/>
    <row r="1954" x14ac:dyDescent="0.3"/>
    <row r="1955" x14ac:dyDescent="0.3"/>
    <row r="1956" x14ac:dyDescent="0.3"/>
    <row r="1957" x14ac:dyDescent="0.3"/>
    <row r="1958" x14ac:dyDescent="0.3"/>
    <row r="1959" x14ac:dyDescent="0.3"/>
    <row r="1960" x14ac:dyDescent="0.3"/>
    <row r="1961" x14ac:dyDescent="0.3"/>
    <row r="1962" x14ac:dyDescent="0.3"/>
    <row r="1963" x14ac:dyDescent="0.3"/>
    <row r="1964" x14ac:dyDescent="0.3"/>
    <row r="1965" x14ac:dyDescent="0.3"/>
    <row r="1966" x14ac:dyDescent="0.3"/>
    <row r="1967" x14ac:dyDescent="0.3"/>
    <row r="1968" x14ac:dyDescent="0.3"/>
    <row r="1969" x14ac:dyDescent="0.3"/>
    <row r="1970" x14ac:dyDescent="0.3"/>
    <row r="1971" x14ac:dyDescent="0.3"/>
    <row r="1972" x14ac:dyDescent="0.3"/>
    <row r="1973" x14ac:dyDescent="0.3"/>
    <row r="1974" x14ac:dyDescent="0.3"/>
    <row r="1975" x14ac:dyDescent="0.3"/>
    <row r="1976" x14ac:dyDescent="0.3"/>
    <row r="1977" x14ac:dyDescent="0.3"/>
    <row r="1978" x14ac:dyDescent="0.3"/>
    <row r="1979" x14ac:dyDescent="0.3"/>
    <row r="1980" x14ac:dyDescent="0.3"/>
    <row r="1981" x14ac:dyDescent="0.3"/>
    <row r="1982" x14ac:dyDescent="0.3"/>
    <row r="1983" x14ac:dyDescent="0.3"/>
    <row r="1984" x14ac:dyDescent="0.3"/>
    <row r="1985" x14ac:dyDescent="0.3"/>
    <row r="1986" x14ac:dyDescent="0.3"/>
    <row r="1987" x14ac:dyDescent="0.3"/>
    <row r="1988" x14ac:dyDescent="0.3"/>
    <row r="1989" x14ac:dyDescent="0.3"/>
    <row r="1990" x14ac:dyDescent="0.3"/>
    <row r="1991" x14ac:dyDescent="0.3"/>
    <row r="1992" x14ac:dyDescent="0.3"/>
    <row r="1993" x14ac:dyDescent="0.3"/>
    <row r="1994" x14ac:dyDescent="0.3"/>
    <row r="1995" x14ac:dyDescent="0.3"/>
    <row r="1996" x14ac:dyDescent="0.3"/>
    <row r="1997" x14ac:dyDescent="0.3"/>
    <row r="1998" x14ac:dyDescent="0.3"/>
    <row r="1999" x14ac:dyDescent="0.3"/>
    <row r="2000" x14ac:dyDescent="0.3"/>
    <row r="2001" x14ac:dyDescent="0.3"/>
    <row r="2002" x14ac:dyDescent="0.3"/>
    <row r="2003" x14ac:dyDescent="0.3"/>
    <row r="2004" x14ac:dyDescent="0.3"/>
    <row r="2005" x14ac:dyDescent="0.3"/>
    <row r="2006" x14ac:dyDescent="0.3"/>
    <row r="2007" x14ac:dyDescent="0.3"/>
    <row r="2008" x14ac:dyDescent="0.3"/>
    <row r="2009" x14ac:dyDescent="0.3"/>
    <row r="2010" x14ac:dyDescent="0.3"/>
    <row r="2011" x14ac:dyDescent="0.3"/>
    <row r="2012" x14ac:dyDescent="0.3"/>
    <row r="2013" x14ac:dyDescent="0.3"/>
    <row r="2014" x14ac:dyDescent="0.3"/>
    <row r="2015" x14ac:dyDescent="0.3"/>
    <row r="2016" x14ac:dyDescent="0.3"/>
    <row r="2017" x14ac:dyDescent="0.3"/>
    <row r="2018" x14ac:dyDescent="0.3"/>
    <row r="2019" x14ac:dyDescent="0.3"/>
    <row r="2020" x14ac:dyDescent="0.3"/>
    <row r="2021" x14ac:dyDescent="0.3"/>
    <row r="2022" x14ac:dyDescent="0.3"/>
    <row r="2023" x14ac:dyDescent="0.3"/>
    <row r="2024" x14ac:dyDescent="0.3"/>
    <row r="2025" x14ac:dyDescent="0.3"/>
    <row r="2026" x14ac:dyDescent="0.3"/>
    <row r="2027" x14ac:dyDescent="0.3"/>
    <row r="2028" x14ac:dyDescent="0.3"/>
    <row r="2029" x14ac:dyDescent="0.3"/>
    <row r="2030" x14ac:dyDescent="0.3"/>
    <row r="2031" x14ac:dyDescent="0.3"/>
    <row r="2032" x14ac:dyDescent="0.3"/>
    <row r="2033" x14ac:dyDescent="0.3"/>
    <row r="2034" x14ac:dyDescent="0.3"/>
    <row r="2035" x14ac:dyDescent="0.3"/>
    <row r="2036" x14ac:dyDescent="0.3"/>
    <row r="2037" x14ac:dyDescent="0.3"/>
    <row r="2038" x14ac:dyDescent="0.3"/>
    <row r="2039" x14ac:dyDescent="0.3"/>
    <row r="2040" x14ac:dyDescent="0.3"/>
    <row r="2041" x14ac:dyDescent="0.3"/>
    <row r="2042" x14ac:dyDescent="0.3"/>
    <row r="2043" x14ac:dyDescent="0.3"/>
    <row r="2044" x14ac:dyDescent="0.3"/>
    <row r="2045" x14ac:dyDescent="0.3"/>
    <row r="2046" x14ac:dyDescent="0.3"/>
    <row r="2047" x14ac:dyDescent="0.3"/>
    <row r="2048" x14ac:dyDescent="0.3"/>
    <row r="2049" x14ac:dyDescent="0.3"/>
    <row r="2050" x14ac:dyDescent="0.3"/>
    <row r="2051" x14ac:dyDescent="0.3"/>
    <row r="2052" x14ac:dyDescent="0.3"/>
    <row r="2053" x14ac:dyDescent="0.3"/>
    <row r="2054" x14ac:dyDescent="0.3"/>
    <row r="2055" x14ac:dyDescent="0.3"/>
    <row r="2056" x14ac:dyDescent="0.3"/>
    <row r="2057" x14ac:dyDescent="0.3"/>
    <row r="2058" x14ac:dyDescent="0.3"/>
    <row r="2059" x14ac:dyDescent="0.3"/>
    <row r="2060" x14ac:dyDescent="0.3"/>
    <row r="2061" x14ac:dyDescent="0.3"/>
    <row r="2062" x14ac:dyDescent="0.3"/>
    <row r="2063" x14ac:dyDescent="0.3"/>
    <row r="2064" x14ac:dyDescent="0.3"/>
    <row r="2065" x14ac:dyDescent="0.3"/>
    <row r="2066" x14ac:dyDescent="0.3"/>
    <row r="2067" x14ac:dyDescent="0.3"/>
    <row r="2068" x14ac:dyDescent="0.3"/>
    <row r="2069" x14ac:dyDescent="0.3"/>
    <row r="2070" x14ac:dyDescent="0.3"/>
    <row r="2071" x14ac:dyDescent="0.3"/>
    <row r="2072" x14ac:dyDescent="0.3"/>
    <row r="2073" x14ac:dyDescent="0.3"/>
    <row r="2074" x14ac:dyDescent="0.3"/>
    <row r="2075" x14ac:dyDescent="0.3"/>
    <row r="2076" x14ac:dyDescent="0.3"/>
    <row r="2077" x14ac:dyDescent="0.3"/>
    <row r="2078" x14ac:dyDescent="0.3"/>
    <row r="2079" x14ac:dyDescent="0.3"/>
    <row r="2080" x14ac:dyDescent="0.3"/>
    <row r="2081" x14ac:dyDescent="0.3"/>
    <row r="2082" x14ac:dyDescent="0.3"/>
    <row r="2083" x14ac:dyDescent="0.3"/>
    <row r="2084" x14ac:dyDescent="0.3"/>
    <row r="2085" x14ac:dyDescent="0.3"/>
    <row r="2086" x14ac:dyDescent="0.3"/>
    <row r="2087" x14ac:dyDescent="0.3"/>
    <row r="2088" x14ac:dyDescent="0.3"/>
    <row r="2089" x14ac:dyDescent="0.3"/>
    <row r="2090" x14ac:dyDescent="0.3"/>
    <row r="2091" x14ac:dyDescent="0.3"/>
    <row r="2092" x14ac:dyDescent="0.3"/>
    <row r="2093" x14ac:dyDescent="0.3"/>
    <row r="2094" x14ac:dyDescent="0.3"/>
    <row r="2095" x14ac:dyDescent="0.3"/>
    <row r="2096" x14ac:dyDescent="0.3"/>
    <row r="2097" x14ac:dyDescent="0.3"/>
    <row r="2098" x14ac:dyDescent="0.3"/>
    <row r="2099" x14ac:dyDescent="0.3"/>
    <row r="2100" x14ac:dyDescent="0.3"/>
    <row r="2101" x14ac:dyDescent="0.3"/>
    <row r="2102" x14ac:dyDescent="0.3"/>
    <row r="2103" x14ac:dyDescent="0.3"/>
    <row r="2104" x14ac:dyDescent="0.3"/>
    <row r="2105" x14ac:dyDescent="0.3"/>
    <row r="2106" x14ac:dyDescent="0.3"/>
    <row r="2107" x14ac:dyDescent="0.3"/>
    <row r="2108" x14ac:dyDescent="0.3"/>
    <row r="2109" x14ac:dyDescent="0.3"/>
    <row r="2110" x14ac:dyDescent="0.3"/>
    <row r="2111" x14ac:dyDescent="0.3"/>
    <row r="2112" x14ac:dyDescent="0.3"/>
    <row r="2113" x14ac:dyDescent="0.3"/>
    <row r="2114" x14ac:dyDescent="0.3"/>
    <row r="2115" x14ac:dyDescent="0.3"/>
    <row r="2116" x14ac:dyDescent="0.3"/>
    <row r="2117" x14ac:dyDescent="0.3"/>
    <row r="2118" x14ac:dyDescent="0.3"/>
    <row r="2119" x14ac:dyDescent="0.3"/>
    <row r="2120" x14ac:dyDescent="0.3"/>
    <row r="2121" x14ac:dyDescent="0.3"/>
    <row r="2122" x14ac:dyDescent="0.3"/>
    <row r="2123" x14ac:dyDescent="0.3"/>
    <row r="2124" x14ac:dyDescent="0.3"/>
    <row r="2125" x14ac:dyDescent="0.3"/>
    <row r="2126" x14ac:dyDescent="0.3"/>
    <row r="2127" x14ac:dyDescent="0.3"/>
    <row r="2128" x14ac:dyDescent="0.3"/>
    <row r="2129" x14ac:dyDescent="0.3"/>
    <row r="2130" x14ac:dyDescent="0.3"/>
    <row r="2131" x14ac:dyDescent="0.3"/>
    <row r="2132" x14ac:dyDescent="0.3"/>
    <row r="2133" x14ac:dyDescent="0.3"/>
    <row r="2134" x14ac:dyDescent="0.3"/>
    <row r="2135" x14ac:dyDescent="0.3"/>
    <row r="2136" x14ac:dyDescent="0.3"/>
    <row r="2137" x14ac:dyDescent="0.3"/>
    <row r="2138" x14ac:dyDescent="0.3"/>
    <row r="2139" x14ac:dyDescent="0.3"/>
    <row r="2140" x14ac:dyDescent="0.3"/>
    <row r="2141" x14ac:dyDescent="0.3"/>
    <row r="2142" x14ac:dyDescent="0.3"/>
    <row r="2143" x14ac:dyDescent="0.3"/>
    <row r="2144" x14ac:dyDescent="0.3"/>
    <row r="2145" x14ac:dyDescent="0.3"/>
    <row r="2146" x14ac:dyDescent="0.3"/>
    <row r="2147" x14ac:dyDescent="0.3"/>
    <row r="2148" x14ac:dyDescent="0.3"/>
    <row r="2149" x14ac:dyDescent="0.3"/>
    <row r="2150" x14ac:dyDescent="0.3"/>
    <row r="2151" x14ac:dyDescent="0.3"/>
    <row r="2152" x14ac:dyDescent="0.3"/>
    <row r="2153" x14ac:dyDescent="0.3"/>
    <row r="2154" x14ac:dyDescent="0.3"/>
    <row r="2155" x14ac:dyDescent="0.3"/>
    <row r="2156" x14ac:dyDescent="0.3"/>
    <row r="2157" x14ac:dyDescent="0.3"/>
    <row r="2158" x14ac:dyDescent="0.3"/>
    <row r="2159" x14ac:dyDescent="0.3"/>
    <row r="2160" x14ac:dyDescent="0.3"/>
    <row r="2161" x14ac:dyDescent="0.3"/>
    <row r="2162" x14ac:dyDescent="0.3"/>
    <row r="2163" x14ac:dyDescent="0.3"/>
    <row r="2164" x14ac:dyDescent="0.3"/>
    <row r="2165" x14ac:dyDescent="0.3"/>
    <row r="2166" x14ac:dyDescent="0.3"/>
    <row r="2167" x14ac:dyDescent="0.3"/>
    <row r="2168" x14ac:dyDescent="0.3"/>
    <row r="2169" x14ac:dyDescent="0.3"/>
    <row r="2170" x14ac:dyDescent="0.3"/>
    <row r="2171" x14ac:dyDescent="0.3"/>
    <row r="2172" x14ac:dyDescent="0.3"/>
    <row r="2173" x14ac:dyDescent="0.3"/>
    <row r="2174" x14ac:dyDescent="0.3"/>
    <row r="2175" x14ac:dyDescent="0.3"/>
    <row r="2176" x14ac:dyDescent="0.3"/>
    <row r="2177" x14ac:dyDescent="0.3"/>
    <row r="2178" x14ac:dyDescent="0.3"/>
    <row r="2179" x14ac:dyDescent="0.3"/>
    <row r="2180" x14ac:dyDescent="0.3"/>
    <row r="2181" x14ac:dyDescent="0.3"/>
    <row r="2182" x14ac:dyDescent="0.3"/>
    <row r="2183" x14ac:dyDescent="0.3"/>
    <row r="2184" x14ac:dyDescent="0.3"/>
    <row r="2185" x14ac:dyDescent="0.3"/>
    <row r="2186" x14ac:dyDescent="0.3"/>
    <row r="2187" x14ac:dyDescent="0.3"/>
    <row r="2188" x14ac:dyDescent="0.3"/>
    <row r="2189" x14ac:dyDescent="0.3"/>
    <row r="2190" x14ac:dyDescent="0.3"/>
    <row r="2191" x14ac:dyDescent="0.3"/>
    <row r="2192" x14ac:dyDescent="0.3"/>
    <row r="2193" x14ac:dyDescent="0.3"/>
    <row r="2194" x14ac:dyDescent="0.3"/>
    <row r="2195" x14ac:dyDescent="0.3"/>
    <row r="2196" x14ac:dyDescent="0.3"/>
    <row r="2197" x14ac:dyDescent="0.3"/>
    <row r="2198" x14ac:dyDescent="0.3"/>
    <row r="2199" x14ac:dyDescent="0.3"/>
    <row r="2200" x14ac:dyDescent="0.3"/>
    <row r="2201" x14ac:dyDescent="0.3"/>
    <row r="2202" x14ac:dyDescent="0.3"/>
    <row r="2203" x14ac:dyDescent="0.3"/>
    <row r="2204" x14ac:dyDescent="0.3"/>
    <row r="2205" x14ac:dyDescent="0.3"/>
    <row r="2206" x14ac:dyDescent="0.3"/>
    <row r="2207" x14ac:dyDescent="0.3"/>
    <row r="2208" x14ac:dyDescent="0.3"/>
    <row r="2209" x14ac:dyDescent="0.3"/>
    <row r="2210" x14ac:dyDescent="0.3"/>
    <row r="2211" x14ac:dyDescent="0.3"/>
    <row r="2212" x14ac:dyDescent="0.3"/>
    <row r="2213" x14ac:dyDescent="0.3"/>
    <row r="2214" x14ac:dyDescent="0.3"/>
    <row r="2215" x14ac:dyDescent="0.3"/>
    <row r="2216" x14ac:dyDescent="0.3"/>
    <row r="2217" x14ac:dyDescent="0.3"/>
    <row r="2218" x14ac:dyDescent="0.3"/>
    <row r="2219" x14ac:dyDescent="0.3"/>
    <row r="2220" x14ac:dyDescent="0.3"/>
    <row r="2221" x14ac:dyDescent="0.3"/>
    <row r="2222" x14ac:dyDescent="0.3"/>
    <row r="2223" x14ac:dyDescent="0.3"/>
    <row r="2224" x14ac:dyDescent="0.3"/>
    <row r="2225" x14ac:dyDescent="0.3"/>
    <row r="2226" x14ac:dyDescent="0.3"/>
    <row r="2227" x14ac:dyDescent="0.3"/>
    <row r="2228" x14ac:dyDescent="0.3"/>
    <row r="2229" x14ac:dyDescent="0.3"/>
    <row r="2230" x14ac:dyDescent="0.3"/>
    <row r="2231" x14ac:dyDescent="0.3"/>
    <row r="2232" x14ac:dyDescent="0.3"/>
    <row r="2233" x14ac:dyDescent="0.3"/>
    <row r="2234" x14ac:dyDescent="0.3"/>
    <row r="2235" x14ac:dyDescent="0.3"/>
    <row r="2236" x14ac:dyDescent="0.3"/>
    <row r="2237" x14ac:dyDescent="0.3"/>
    <row r="2238" x14ac:dyDescent="0.3"/>
    <row r="2239" x14ac:dyDescent="0.3"/>
    <row r="2240" x14ac:dyDescent="0.3"/>
    <row r="2241" x14ac:dyDescent="0.3"/>
    <row r="2242" x14ac:dyDescent="0.3"/>
    <row r="2243" x14ac:dyDescent="0.3"/>
    <row r="2244" x14ac:dyDescent="0.3"/>
    <row r="2245" x14ac:dyDescent="0.3"/>
    <row r="2246" x14ac:dyDescent="0.3"/>
    <row r="2247" x14ac:dyDescent="0.3"/>
    <row r="2248" x14ac:dyDescent="0.3"/>
    <row r="2249" x14ac:dyDescent="0.3"/>
    <row r="2250" x14ac:dyDescent="0.3"/>
    <row r="2251" x14ac:dyDescent="0.3"/>
    <row r="2252" x14ac:dyDescent="0.3"/>
    <row r="2253" x14ac:dyDescent="0.3"/>
    <row r="2254" x14ac:dyDescent="0.3"/>
    <row r="2255" x14ac:dyDescent="0.3"/>
    <row r="2256" x14ac:dyDescent="0.3"/>
    <row r="2257" x14ac:dyDescent="0.3"/>
    <row r="2258" x14ac:dyDescent="0.3"/>
    <row r="2259" x14ac:dyDescent="0.3"/>
    <row r="2260" x14ac:dyDescent="0.3"/>
    <row r="2261" x14ac:dyDescent="0.3"/>
    <row r="2262" x14ac:dyDescent="0.3"/>
    <row r="2263" x14ac:dyDescent="0.3"/>
    <row r="2264" x14ac:dyDescent="0.3"/>
    <row r="2265" x14ac:dyDescent="0.3"/>
    <row r="2266" x14ac:dyDescent="0.3"/>
    <row r="2267" x14ac:dyDescent="0.3"/>
    <row r="2268" x14ac:dyDescent="0.3"/>
    <row r="2269" x14ac:dyDescent="0.3"/>
    <row r="2270" x14ac:dyDescent="0.3"/>
    <row r="2271" x14ac:dyDescent="0.3"/>
    <row r="2272" x14ac:dyDescent="0.3"/>
    <row r="2273" x14ac:dyDescent="0.3"/>
    <row r="2274" x14ac:dyDescent="0.3"/>
    <row r="2275" x14ac:dyDescent="0.3"/>
    <row r="2276" x14ac:dyDescent="0.3"/>
    <row r="2277" x14ac:dyDescent="0.3"/>
    <row r="2278" x14ac:dyDescent="0.3"/>
    <row r="2279" x14ac:dyDescent="0.3"/>
    <row r="2280" x14ac:dyDescent="0.3"/>
    <row r="2281" x14ac:dyDescent="0.3"/>
    <row r="2282" x14ac:dyDescent="0.3"/>
    <row r="2283" x14ac:dyDescent="0.3"/>
    <row r="2284" x14ac:dyDescent="0.3"/>
    <row r="2285" x14ac:dyDescent="0.3"/>
    <row r="2286" x14ac:dyDescent="0.3"/>
    <row r="2287" x14ac:dyDescent="0.3"/>
    <row r="2288" x14ac:dyDescent="0.3"/>
    <row r="2289" x14ac:dyDescent="0.3"/>
    <row r="2290" x14ac:dyDescent="0.3"/>
    <row r="2291" x14ac:dyDescent="0.3"/>
    <row r="2292" x14ac:dyDescent="0.3"/>
    <row r="2293" x14ac:dyDescent="0.3"/>
    <row r="2294" x14ac:dyDescent="0.3"/>
    <row r="2295" x14ac:dyDescent="0.3"/>
    <row r="2296" x14ac:dyDescent="0.3"/>
    <row r="2297" x14ac:dyDescent="0.3"/>
    <row r="2298" x14ac:dyDescent="0.3"/>
    <row r="2299" x14ac:dyDescent="0.3"/>
    <row r="2300" x14ac:dyDescent="0.3"/>
    <row r="2301" x14ac:dyDescent="0.3"/>
    <row r="2302" x14ac:dyDescent="0.3"/>
    <row r="2303" x14ac:dyDescent="0.3"/>
    <row r="2304" x14ac:dyDescent="0.3"/>
    <row r="2305" x14ac:dyDescent="0.3"/>
    <row r="2306" x14ac:dyDescent="0.3"/>
    <row r="2307" x14ac:dyDescent="0.3"/>
    <row r="2308" x14ac:dyDescent="0.3"/>
    <row r="2309" x14ac:dyDescent="0.3"/>
    <row r="2310" x14ac:dyDescent="0.3"/>
    <row r="2311" x14ac:dyDescent="0.3"/>
    <row r="2312" x14ac:dyDescent="0.3"/>
    <row r="2313" x14ac:dyDescent="0.3"/>
    <row r="2314" x14ac:dyDescent="0.3"/>
    <row r="2315" x14ac:dyDescent="0.3"/>
    <row r="2316" x14ac:dyDescent="0.3"/>
    <row r="2317" x14ac:dyDescent="0.3"/>
    <row r="2318" x14ac:dyDescent="0.3"/>
    <row r="2319" x14ac:dyDescent="0.3"/>
    <row r="2320" x14ac:dyDescent="0.3"/>
    <row r="2321" x14ac:dyDescent="0.3"/>
    <row r="2322" x14ac:dyDescent="0.3"/>
    <row r="2323" x14ac:dyDescent="0.3"/>
    <row r="2324" x14ac:dyDescent="0.3"/>
    <row r="2325" x14ac:dyDescent="0.3"/>
    <row r="2326" x14ac:dyDescent="0.3"/>
    <row r="2327" x14ac:dyDescent="0.3"/>
    <row r="2328" x14ac:dyDescent="0.3"/>
    <row r="2329" x14ac:dyDescent="0.3"/>
    <row r="2330" x14ac:dyDescent="0.3"/>
    <row r="2331" x14ac:dyDescent="0.3"/>
    <row r="2332" x14ac:dyDescent="0.3"/>
    <row r="2333" x14ac:dyDescent="0.3"/>
    <row r="2334" x14ac:dyDescent="0.3"/>
    <row r="2335" x14ac:dyDescent="0.3"/>
    <row r="2336" x14ac:dyDescent="0.3"/>
    <row r="2337" x14ac:dyDescent="0.3"/>
    <row r="2338" x14ac:dyDescent="0.3"/>
    <row r="2339" x14ac:dyDescent="0.3"/>
    <row r="2340" x14ac:dyDescent="0.3"/>
    <row r="2341" x14ac:dyDescent="0.3"/>
    <row r="2342" x14ac:dyDescent="0.3"/>
    <row r="2343" x14ac:dyDescent="0.3"/>
    <row r="2344" x14ac:dyDescent="0.3"/>
    <row r="2345" x14ac:dyDescent="0.3"/>
    <row r="2346" x14ac:dyDescent="0.3"/>
    <row r="2347" x14ac:dyDescent="0.3"/>
    <row r="2348" x14ac:dyDescent="0.3"/>
    <row r="2349" x14ac:dyDescent="0.3"/>
    <row r="2350" x14ac:dyDescent="0.3"/>
    <row r="2351" x14ac:dyDescent="0.3"/>
    <row r="2352" x14ac:dyDescent="0.3"/>
    <row r="2353" x14ac:dyDescent="0.3"/>
    <row r="2354" x14ac:dyDescent="0.3"/>
    <row r="2355" x14ac:dyDescent="0.3"/>
    <row r="2356" x14ac:dyDescent="0.3"/>
    <row r="2357" x14ac:dyDescent="0.3"/>
    <row r="2358" x14ac:dyDescent="0.3"/>
    <row r="2359" x14ac:dyDescent="0.3"/>
    <row r="2360" x14ac:dyDescent="0.3"/>
    <row r="2361" x14ac:dyDescent="0.3"/>
    <row r="2362" x14ac:dyDescent="0.3"/>
    <row r="2363" x14ac:dyDescent="0.3"/>
    <row r="2364" x14ac:dyDescent="0.3"/>
    <row r="2365" x14ac:dyDescent="0.3"/>
    <row r="2366" x14ac:dyDescent="0.3"/>
    <row r="2367" x14ac:dyDescent="0.3"/>
    <row r="2368" x14ac:dyDescent="0.3"/>
    <row r="2369" x14ac:dyDescent="0.3"/>
    <row r="2370" x14ac:dyDescent="0.3"/>
    <row r="2371" x14ac:dyDescent="0.3"/>
    <row r="2372" x14ac:dyDescent="0.3"/>
    <row r="2373" x14ac:dyDescent="0.3"/>
    <row r="2374" x14ac:dyDescent="0.3"/>
    <row r="2375" x14ac:dyDescent="0.3"/>
    <row r="2376" x14ac:dyDescent="0.3"/>
    <row r="2377" x14ac:dyDescent="0.3"/>
    <row r="2378" x14ac:dyDescent="0.3"/>
    <row r="2379" x14ac:dyDescent="0.3"/>
    <row r="2380" x14ac:dyDescent="0.3"/>
    <row r="2381" x14ac:dyDescent="0.3"/>
    <row r="2382" x14ac:dyDescent="0.3"/>
    <row r="2383" x14ac:dyDescent="0.3"/>
    <row r="2384" x14ac:dyDescent="0.3"/>
    <row r="2385" x14ac:dyDescent="0.3"/>
    <row r="2386" x14ac:dyDescent="0.3"/>
    <row r="2387" x14ac:dyDescent="0.3"/>
    <row r="2388" x14ac:dyDescent="0.3"/>
    <row r="2389" x14ac:dyDescent="0.3"/>
    <row r="2390" x14ac:dyDescent="0.3"/>
    <row r="2391" x14ac:dyDescent="0.3"/>
    <row r="2392" x14ac:dyDescent="0.3"/>
    <row r="2393" x14ac:dyDescent="0.3"/>
    <row r="2394" x14ac:dyDescent="0.3"/>
    <row r="2395" x14ac:dyDescent="0.3"/>
    <row r="2396" x14ac:dyDescent="0.3"/>
    <row r="2397" x14ac:dyDescent="0.3"/>
    <row r="2398" x14ac:dyDescent="0.3"/>
    <row r="2399" x14ac:dyDescent="0.3"/>
    <row r="2400" x14ac:dyDescent="0.3"/>
    <row r="2401" x14ac:dyDescent="0.3"/>
    <row r="2402" x14ac:dyDescent="0.3"/>
    <row r="2403" x14ac:dyDescent="0.3"/>
    <row r="2404" x14ac:dyDescent="0.3"/>
    <row r="2405" x14ac:dyDescent="0.3"/>
    <row r="2406" x14ac:dyDescent="0.3"/>
    <row r="2407" x14ac:dyDescent="0.3"/>
    <row r="2408" x14ac:dyDescent="0.3"/>
    <row r="2409" x14ac:dyDescent="0.3"/>
    <row r="2410" x14ac:dyDescent="0.3"/>
    <row r="2411" x14ac:dyDescent="0.3"/>
    <row r="2412" x14ac:dyDescent="0.3"/>
    <row r="2413" x14ac:dyDescent="0.3"/>
    <row r="2414" x14ac:dyDescent="0.3"/>
    <row r="2415" x14ac:dyDescent="0.3"/>
    <row r="2416" x14ac:dyDescent="0.3"/>
    <row r="2417" x14ac:dyDescent="0.3"/>
    <row r="2418" x14ac:dyDescent="0.3"/>
    <row r="2419" x14ac:dyDescent="0.3"/>
    <row r="2420" x14ac:dyDescent="0.3"/>
    <row r="2421" x14ac:dyDescent="0.3"/>
    <row r="2422" x14ac:dyDescent="0.3"/>
    <row r="2423" x14ac:dyDescent="0.3"/>
    <row r="2424" x14ac:dyDescent="0.3"/>
    <row r="2425" x14ac:dyDescent="0.3"/>
    <row r="2426" x14ac:dyDescent="0.3"/>
    <row r="2427" x14ac:dyDescent="0.3"/>
    <row r="2428" x14ac:dyDescent="0.3"/>
    <row r="2429" x14ac:dyDescent="0.3"/>
    <row r="2430" x14ac:dyDescent="0.3"/>
    <row r="2431" x14ac:dyDescent="0.3"/>
    <row r="2432" x14ac:dyDescent="0.3"/>
    <row r="2433" x14ac:dyDescent="0.3"/>
    <row r="2434" x14ac:dyDescent="0.3"/>
    <row r="2435" x14ac:dyDescent="0.3"/>
    <row r="2436" x14ac:dyDescent="0.3"/>
    <row r="2437" x14ac:dyDescent="0.3"/>
    <row r="2438" x14ac:dyDescent="0.3"/>
    <row r="2439" x14ac:dyDescent="0.3"/>
    <row r="2440" x14ac:dyDescent="0.3"/>
    <row r="2441" x14ac:dyDescent="0.3"/>
    <row r="2442" x14ac:dyDescent="0.3"/>
    <row r="2443" x14ac:dyDescent="0.3"/>
    <row r="2444" x14ac:dyDescent="0.3"/>
    <row r="2445" x14ac:dyDescent="0.3"/>
    <row r="2446" x14ac:dyDescent="0.3"/>
    <row r="2447" x14ac:dyDescent="0.3"/>
    <row r="2448" x14ac:dyDescent="0.3"/>
    <row r="2449" x14ac:dyDescent="0.3"/>
    <row r="2450" x14ac:dyDescent="0.3"/>
    <row r="2451" x14ac:dyDescent="0.3"/>
    <row r="2452" x14ac:dyDescent="0.3"/>
    <row r="2453" x14ac:dyDescent="0.3"/>
    <row r="2454" x14ac:dyDescent="0.3"/>
    <row r="2455" x14ac:dyDescent="0.3"/>
    <row r="2456" x14ac:dyDescent="0.3"/>
    <row r="2457" x14ac:dyDescent="0.3"/>
    <row r="2458" x14ac:dyDescent="0.3"/>
    <row r="2459" x14ac:dyDescent="0.3"/>
    <row r="2460" x14ac:dyDescent="0.3"/>
    <row r="2461" x14ac:dyDescent="0.3"/>
    <row r="2462" x14ac:dyDescent="0.3"/>
    <row r="2463" x14ac:dyDescent="0.3"/>
    <row r="2464" x14ac:dyDescent="0.3"/>
    <row r="2465" x14ac:dyDescent="0.3"/>
    <row r="2466" x14ac:dyDescent="0.3"/>
    <row r="2467" x14ac:dyDescent="0.3"/>
    <row r="2468" x14ac:dyDescent="0.3"/>
    <row r="2469" x14ac:dyDescent="0.3"/>
    <row r="2470" x14ac:dyDescent="0.3"/>
    <row r="2471" x14ac:dyDescent="0.3"/>
    <row r="2472" x14ac:dyDescent="0.3"/>
    <row r="2473" x14ac:dyDescent="0.3"/>
    <row r="2474" x14ac:dyDescent="0.3"/>
    <row r="2475" x14ac:dyDescent="0.3"/>
    <row r="2476" x14ac:dyDescent="0.3"/>
    <row r="2477" x14ac:dyDescent="0.3"/>
    <row r="2478" x14ac:dyDescent="0.3"/>
    <row r="2479" x14ac:dyDescent="0.3"/>
    <row r="2480" x14ac:dyDescent="0.3"/>
    <row r="2481" x14ac:dyDescent="0.3"/>
    <row r="2482" x14ac:dyDescent="0.3"/>
    <row r="2483" x14ac:dyDescent="0.3"/>
    <row r="2484" x14ac:dyDescent="0.3"/>
    <row r="2485" x14ac:dyDescent="0.3"/>
    <row r="2486" x14ac:dyDescent="0.3"/>
    <row r="2487" x14ac:dyDescent="0.3"/>
    <row r="2488" x14ac:dyDescent="0.3"/>
    <row r="2489" x14ac:dyDescent="0.3"/>
    <row r="2490" x14ac:dyDescent="0.3"/>
    <row r="2491" x14ac:dyDescent="0.3"/>
    <row r="2492" x14ac:dyDescent="0.3"/>
    <row r="2493" x14ac:dyDescent="0.3"/>
    <row r="2494" x14ac:dyDescent="0.3"/>
    <row r="2495" x14ac:dyDescent="0.3"/>
    <row r="2496" x14ac:dyDescent="0.3"/>
    <row r="2497" x14ac:dyDescent="0.3"/>
    <row r="2498" x14ac:dyDescent="0.3"/>
    <row r="2499" x14ac:dyDescent="0.3"/>
    <row r="2500" x14ac:dyDescent="0.3"/>
    <row r="2501" x14ac:dyDescent="0.3"/>
    <row r="2502" x14ac:dyDescent="0.3"/>
    <row r="2503" x14ac:dyDescent="0.3"/>
    <row r="2504" x14ac:dyDescent="0.3"/>
    <row r="2505" x14ac:dyDescent="0.3"/>
    <row r="2506" x14ac:dyDescent="0.3"/>
    <row r="2507" x14ac:dyDescent="0.3"/>
    <row r="2508" x14ac:dyDescent="0.3"/>
    <row r="2509" x14ac:dyDescent="0.3"/>
    <row r="2510" x14ac:dyDescent="0.3"/>
    <row r="2511" x14ac:dyDescent="0.3"/>
    <row r="2512" x14ac:dyDescent="0.3"/>
    <row r="2513" x14ac:dyDescent="0.3"/>
    <row r="2514" x14ac:dyDescent="0.3"/>
    <row r="2515" x14ac:dyDescent="0.3"/>
    <row r="2516" x14ac:dyDescent="0.3"/>
    <row r="2517" x14ac:dyDescent="0.3"/>
    <row r="2518" x14ac:dyDescent="0.3"/>
    <row r="2519" x14ac:dyDescent="0.3"/>
    <row r="2520" x14ac:dyDescent="0.3"/>
    <row r="2521" x14ac:dyDescent="0.3"/>
    <row r="2522" x14ac:dyDescent="0.3"/>
    <row r="2523" x14ac:dyDescent="0.3"/>
    <row r="2524" x14ac:dyDescent="0.3"/>
    <row r="2525" x14ac:dyDescent="0.3"/>
    <row r="2526" x14ac:dyDescent="0.3"/>
    <row r="2527" x14ac:dyDescent="0.3"/>
    <row r="2528" x14ac:dyDescent="0.3"/>
    <row r="2529" x14ac:dyDescent="0.3"/>
    <row r="2530" x14ac:dyDescent="0.3"/>
    <row r="2531" x14ac:dyDescent="0.3"/>
    <row r="2532" x14ac:dyDescent="0.3"/>
    <row r="2533" x14ac:dyDescent="0.3"/>
    <row r="2534" x14ac:dyDescent="0.3"/>
    <row r="2535" x14ac:dyDescent="0.3"/>
    <row r="2536" x14ac:dyDescent="0.3"/>
    <row r="2537" x14ac:dyDescent="0.3"/>
    <row r="2538" x14ac:dyDescent="0.3"/>
    <row r="2539" x14ac:dyDescent="0.3"/>
    <row r="2540" x14ac:dyDescent="0.3"/>
    <row r="2541" x14ac:dyDescent="0.3"/>
    <row r="2542" x14ac:dyDescent="0.3"/>
    <row r="2543" x14ac:dyDescent="0.3"/>
    <row r="2544" x14ac:dyDescent="0.3"/>
    <row r="2545" x14ac:dyDescent="0.3"/>
    <row r="2546" x14ac:dyDescent="0.3"/>
    <row r="2547" x14ac:dyDescent="0.3"/>
    <row r="2548" x14ac:dyDescent="0.3"/>
    <row r="2549" x14ac:dyDescent="0.3"/>
    <row r="2550" x14ac:dyDescent="0.3"/>
    <row r="2551" x14ac:dyDescent="0.3"/>
    <row r="2552" x14ac:dyDescent="0.3"/>
    <row r="2553" x14ac:dyDescent="0.3"/>
    <row r="2554" x14ac:dyDescent="0.3"/>
    <row r="2555" x14ac:dyDescent="0.3"/>
    <row r="2556" x14ac:dyDescent="0.3"/>
    <row r="2557" x14ac:dyDescent="0.3"/>
    <row r="2558" x14ac:dyDescent="0.3"/>
    <row r="2559" x14ac:dyDescent="0.3"/>
    <row r="2560" x14ac:dyDescent="0.3"/>
    <row r="2561" x14ac:dyDescent="0.3"/>
    <row r="2562" x14ac:dyDescent="0.3"/>
    <row r="2563" x14ac:dyDescent="0.3"/>
    <row r="2564" x14ac:dyDescent="0.3"/>
    <row r="2565" x14ac:dyDescent="0.3"/>
    <row r="2566" x14ac:dyDescent="0.3"/>
    <row r="2567" x14ac:dyDescent="0.3"/>
    <row r="2568" x14ac:dyDescent="0.3"/>
    <row r="2569" x14ac:dyDescent="0.3"/>
    <row r="2570" x14ac:dyDescent="0.3"/>
    <row r="2571" x14ac:dyDescent="0.3"/>
    <row r="2572" x14ac:dyDescent="0.3"/>
    <row r="2573" x14ac:dyDescent="0.3"/>
    <row r="2574" x14ac:dyDescent="0.3"/>
    <row r="2575" x14ac:dyDescent="0.3"/>
    <row r="2576" x14ac:dyDescent="0.3"/>
    <row r="2577" x14ac:dyDescent="0.3"/>
    <row r="2578" x14ac:dyDescent="0.3"/>
    <row r="2579" x14ac:dyDescent="0.3"/>
    <row r="2580" x14ac:dyDescent="0.3"/>
    <row r="2581" x14ac:dyDescent="0.3"/>
    <row r="2582" x14ac:dyDescent="0.3"/>
    <row r="2583" x14ac:dyDescent="0.3"/>
    <row r="2584" x14ac:dyDescent="0.3"/>
    <row r="2585" x14ac:dyDescent="0.3"/>
    <row r="2586" x14ac:dyDescent="0.3"/>
    <row r="2587" x14ac:dyDescent="0.3"/>
    <row r="2588" x14ac:dyDescent="0.3"/>
    <row r="2589" x14ac:dyDescent="0.3"/>
    <row r="2590" x14ac:dyDescent="0.3"/>
    <row r="2591" x14ac:dyDescent="0.3"/>
    <row r="2592" x14ac:dyDescent="0.3"/>
    <row r="2593" x14ac:dyDescent="0.3"/>
    <row r="2594" x14ac:dyDescent="0.3"/>
    <row r="2595" x14ac:dyDescent="0.3"/>
    <row r="2596" x14ac:dyDescent="0.3"/>
    <row r="2597" x14ac:dyDescent="0.3"/>
    <row r="2598" x14ac:dyDescent="0.3"/>
    <row r="2599" x14ac:dyDescent="0.3"/>
    <row r="2600" x14ac:dyDescent="0.3"/>
    <row r="2601" x14ac:dyDescent="0.3"/>
    <row r="2602" x14ac:dyDescent="0.3"/>
    <row r="2603" x14ac:dyDescent="0.3"/>
    <row r="2604" x14ac:dyDescent="0.3"/>
    <row r="2605" x14ac:dyDescent="0.3"/>
    <row r="2606" x14ac:dyDescent="0.3"/>
    <row r="2607" x14ac:dyDescent="0.3"/>
    <row r="2608" x14ac:dyDescent="0.3"/>
    <row r="2609" x14ac:dyDescent="0.3"/>
    <row r="2610" x14ac:dyDescent="0.3"/>
    <row r="2611" x14ac:dyDescent="0.3"/>
    <row r="2612" x14ac:dyDescent="0.3"/>
    <row r="2613" x14ac:dyDescent="0.3"/>
    <row r="2614" x14ac:dyDescent="0.3"/>
    <row r="2615" x14ac:dyDescent="0.3"/>
    <row r="2616" x14ac:dyDescent="0.3"/>
    <row r="2617" x14ac:dyDescent="0.3"/>
    <row r="2618" x14ac:dyDescent="0.3"/>
    <row r="2619" x14ac:dyDescent="0.3"/>
    <row r="2620" x14ac:dyDescent="0.3"/>
    <row r="2621" x14ac:dyDescent="0.3"/>
    <row r="2622" x14ac:dyDescent="0.3"/>
    <row r="2623" x14ac:dyDescent="0.3"/>
    <row r="2624" x14ac:dyDescent="0.3"/>
    <row r="2625" x14ac:dyDescent="0.3"/>
    <row r="2626" x14ac:dyDescent="0.3"/>
    <row r="2627" x14ac:dyDescent="0.3"/>
    <row r="2628" x14ac:dyDescent="0.3"/>
    <row r="2629" x14ac:dyDescent="0.3"/>
    <row r="2630" x14ac:dyDescent="0.3"/>
    <row r="2631" x14ac:dyDescent="0.3"/>
    <row r="2632" x14ac:dyDescent="0.3"/>
    <row r="2633" x14ac:dyDescent="0.3"/>
    <row r="2634" x14ac:dyDescent="0.3"/>
    <row r="2635" x14ac:dyDescent="0.3"/>
    <row r="2636" x14ac:dyDescent="0.3"/>
    <row r="2637" x14ac:dyDescent="0.3"/>
    <row r="2638" x14ac:dyDescent="0.3"/>
    <row r="2639" x14ac:dyDescent="0.3"/>
    <row r="2640" x14ac:dyDescent="0.3"/>
    <row r="2641" x14ac:dyDescent="0.3"/>
    <row r="2642" x14ac:dyDescent="0.3"/>
    <row r="2643" x14ac:dyDescent="0.3"/>
    <row r="2644" x14ac:dyDescent="0.3"/>
    <row r="2645" x14ac:dyDescent="0.3"/>
    <row r="2646" x14ac:dyDescent="0.3"/>
    <row r="2647" x14ac:dyDescent="0.3"/>
    <row r="2648" x14ac:dyDescent="0.3"/>
    <row r="2649" x14ac:dyDescent="0.3"/>
    <row r="2650" x14ac:dyDescent="0.3"/>
    <row r="2651" x14ac:dyDescent="0.3"/>
    <row r="2652" x14ac:dyDescent="0.3"/>
    <row r="2653" x14ac:dyDescent="0.3"/>
    <row r="2654" x14ac:dyDescent="0.3"/>
    <row r="2655" x14ac:dyDescent="0.3"/>
    <row r="2656" x14ac:dyDescent="0.3"/>
    <row r="2657" x14ac:dyDescent="0.3"/>
    <row r="2658" x14ac:dyDescent="0.3"/>
    <row r="2659" x14ac:dyDescent="0.3"/>
    <row r="2660" x14ac:dyDescent="0.3"/>
    <row r="2661" x14ac:dyDescent="0.3"/>
    <row r="2662" x14ac:dyDescent="0.3"/>
    <row r="2663" x14ac:dyDescent="0.3"/>
    <row r="2664" x14ac:dyDescent="0.3"/>
    <row r="2665" x14ac:dyDescent="0.3"/>
    <row r="2666" x14ac:dyDescent="0.3"/>
    <row r="2667" x14ac:dyDescent="0.3"/>
    <row r="2668" x14ac:dyDescent="0.3"/>
    <row r="2669" x14ac:dyDescent="0.3"/>
    <row r="2670" x14ac:dyDescent="0.3"/>
    <row r="2671" x14ac:dyDescent="0.3"/>
    <row r="2672" x14ac:dyDescent="0.3"/>
    <row r="2673" x14ac:dyDescent="0.3"/>
    <row r="2674" x14ac:dyDescent="0.3"/>
    <row r="2675" x14ac:dyDescent="0.3"/>
    <row r="2676" x14ac:dyDescent="0.3"/>
    <row r="2677" x14ac:dyDescent="0.3"/>
    <row r="2678" x14ac:dyDescent="0.3"/>
    <row r="2679" x14ac:dyDescent="0.3"/>
    <row r="2680" x14ac:dyDescent="0.3"/>
    <row r="2681" x14ac:dyDescent="0.3"/>
    <row r="2682" x14ac:dyDescent="0.3"/>
    <row r="2683" x14ac:dyDescent="0.3"/>
    <row r="2684" x14ac:dyDescent="0.3"/>
    <row r="2685" x14ac:dyDescent="0.3"/>
    <row r="2686" x14ac:dyDescent="0.3"/>
    <row r="2687" x14ac:dyDescent="0.3"/>
    <row r="2688" x14ac:dyDescent="0.3"/>
    <row r="2689" x14ac:dyDescent="0.3"/>
    <row r="2690" x14ac:dyDescent="0.3"/>
    <row r="2691" x14ac:dyDescent="0.3"/>
    <row r="2692" x14ac:dyDescent="0.3"/>
    <row r="2693" x14ac:dyDescent="0.3"/>
    <row r="2694" x14ac:dyDescent="0.3"/>
    <row r="2695" x14ac:dyDescent="0.3"/>
    <row r="2696" x14ac:dyDescent="0.3"/>
    <row r="2697" x14ac:dyDescent="0.3"/>
    <row r="2698" x14ac:dyDescent="0.3"/>
    <row r="2699" x14ac:dyDescent="0.3"/>
    <row r="2700" x14ac:dyDescent="0.3"/>
    <row r="2701" x14ac:dyDescent="0.3"/>
    <row r="2702" x14ac:dyDescent="0.3"/>
    <row r="2703" x14ac:dyDescent="0.3"/>
    <row r="2704" x14ac:dyDescent="0.3"/>
    <row r="2705" x14ac:dyDescent="0.3"/>
    <row r="2706" x14ac:dyDescent="0.3"/>
    <row r="2707" x14ac:dyDescent="0.3"/>
    <row r="2708" x14ac:dyDescent="0.3"/>
    <row r="2709" x14ac:dyDescent="0.3"/>
    <row r="2710" x14ac:dyDescent="0.3"/>
    <row r="2711" x14ac:dyDescent="0.3"/>
    <row r="2712" x14ac:dyDescent="0.3"/>
    <row r="2713" x14ac:dyDescent="0.3"/>
    <row r="2714" x14ac:dyDescent="0.3"/>
    <row r="2715" x14ac:dyDescent="0.3"/>
    <row r="2716" x14ac:dyDescent="0.3"/>
    <row r="2717" x14ac:dyDescent="0.3"/>
    <row r="2718" x14ac:dyDescent="0.3"/>
    <row r="2719" x14ac:dyDescent="0.3"/>
    <row r="2720" x14ac:dyDescent="0.3"/>
    <row r="2721" x14ac:dyDescent="0.3"/>
    <row r="2722" x14ac:dyDescent="0.3"/>
    <row r="2723" x14ac:dyDescent="0.3"/>
    <row r="2724" x14ac:dyDescent="0.3"/>
    <row r="2725" x14ac:dyDescent="0.3"/>
    <row r="2726" x14ac:dyDescent="0.3"/>
    <row r="2727" x14ac:dyDescent="0.3"/>
    <row r="2728" x14ac:dyDescent="0.3"/>
    <row r="2729" x14ac:dyDescent="0.3"/>
    <row r="2730" x14ac:dyDescent="0.3"/>
    <row r="2731" x14ac:dyDescent="0.3"/>
    <row r="2732" x14ac:dyDescent="0.3"/>
    <row r="2733" x14ac:dyDescent="0.3"/>
    <row r="2734" x14ac:dyDescent="0.3"/>
    <row r="2735" x14ac:dyDescent="0.3"/>
    <row r="2736" x14ac:dyDescent="0.3"/>
    <row r="2737" x14ac:dyDescent="0.3"/>
    <row r="2738" x14ac:dyDescent="0.3"/>
    <row r="2739" x14ac:dyDescent="0.3"/>
    <row r="2740" x14ac:dyDescent="0.3"/>
    <row r="2741" x14ac:dyDescent="0.3"/>
    <row r="2742" x14ac:dyDescent="0.3"/>
    <row r="2743" x14ac:dyDescent="0.3"/>
    <row r="2744" x14ac:dyDescent="0.3"/>
    <row r="2745" x14ac:dyDescent="0.3"/>
    <row r="2746" x14ac:dyDescent="0.3"/>
    <row r="2747" x14ac:dyDescent="0.3"/>
    <row r="2748" x14ac:dyDescent="0.3"/>
    <row r="2749" x14ac:dyDescent="0.3"/>
    <row r="2750" x14ac:dyDescent="0.3"/>
    <row r="2751" x14ac:dyDescent="0.3"/>
    <row r="2752" x14ac:dyDescent="0.3"/>
    <row r="2753" x14ac:dyDescent="0.3"/>
    <row r="2754" x14ac:dyDescent="0.3"/>
    <row r="2755" x14ac:dyDescent="0.3"/>
    <row r="2756" x14ac:dyDescent="0.3"/>
    <row r="2757" x14ac:dyDescent="0.3"/>
    <row r="2758" x14ac:dyDescent="0.3"/>
    <row r="2759" x14ac:dyDescent="0.3"/>
    <row r="2760" x14ac:dyDescent="0.3"/>
    <row r="2761" x14ac:dyDescent="0.3"/>
    <row r="2762" x14ac:dyDescent="0.3"/>
    <row r="2763" x14ac:dyDescent="0.3"/>
    <row r="2764" x14ac:dyDescent="0.3"/>
    <row r="2765" x14ac:dyDescent="0.3"/>
    <row r="2766" x14ac:dyDescent="0.3"/>
    <row r="2767" x14ac:dyDescent="0.3"/>
    <row r="2768" x14ac:dyDescent="0.3"/>
    <row r="2769" x14ac:dyDescent="0.3"/>
    <row r="2770" x14ac:dyDescent="0.3"/>
    <row r="2771" x14ac:dyDescent="0.3"/>
    <row r="2772" x14ac:dyDescent="0.3"/>
    <row r="2773" x14ac:dyDescent="0.3"/>
    <row r="2774" x14ac:dyDescent="0.3"/>
    <row r="2775" x14ac:dyDescent="0.3"/>
    <row r="2776" x14ac:dyDescent="0.3"/>
    <row r="2777" x14ac:dyDescent="0.3"/>
    <row r="2778" x14ac:dyDescent="0.3"/>
    <row r="2779" x14ac:dyDescent="0.3"/>
    <row r="2780" x14ac:dyDescent="0.3"/>
    <row r="2781" x14ac:dyDescent="0.3"/>
    <row r="2782" x14ac:dyDescent="0.3"/>
    <row r="2783" x14ac:dyDescent="0.3"/>
    <row r="2784" x14ac:dyDescent="0.3"/>
    <row r="2785" x14ac:dyDescent="0.3"/>
    <row r="2786" x14ac:dyDescent="0.3"/>
    <row r="2787" x14ac:dyDescent="0.3"/>
    <row r="2788" x14ac:dyDescent="0.3"/>
    <row r="2789" x14ac:dyDescent="0.3"/>
    <row r="2790" x14ac:dyDescent="0.3"/>
    <row r="2791" x14ac:dyDescent="0.3"/>
    <row r="2792" x14ac:dyDescent="0.3"/>
    <row r="2793" x14ac:dyDescent="0.3"/>
    <row r="2794" x14ac:dyDescent="0.3"/>
    <row r="2795" x14ac:dyDescent="0.3"/>
    <row r="2796" x14ac:dyDescent="0.3"/>
    <row r="2797" x14ac:dyDescent="0.3"/>
    <row r="2798" x14ac:dyDescent="0.3"/>
    <row r="2799" x14ac:dyDescent="0.3"/>
    <row r="2800" x14ac:dyDescent="0.3"/>
    <row r="2801" x14ac:dyDescent="0.3"/>
    <row r="2802" x14ac:dyDescent="0.3"/>
    <row r="2803" x14ac:dyDescent="0.3"/>
    <row r="2804" x14ac:dyDescent="0.3"/>
    <row r="2805" x14ac:dyDescent="0.3"/>
    <row r="2806" x14ac:dyDescent="0.3"/>
    <row r="2807" x14ac:dyDescent="0.3"/>
    <row r="2808" x14ac:dyDescent="0.3"/>
    <row r="2809" x14ac:dyDescent="0.3"/>
    <row r="2810" x14ac:dyDescent="0.3"/>
    <row r="2811" x14ac:dyDescent="0.3"/>
    <row r="2812" x14ac:dyDescent="0.3"/>
    <row r="2813" x14ac:dyDescent="0.3"/>
    <row r="2814" x14ac:dyDescent="0.3"/>
    <row r="2815" x14ac:dyDescent="0.3"/>
    <row r="2816" x14ac:dyDescent="0.3"/>
    <row r="2817" x14ac:dyDescent="0.3"/>
    <row r="2818" x14ac:dyDescent="0.3"/>
    <row r="2819" x14ac:dyDescent="0.3"/>
    <row r="2820" x14ac:dyDescent="0.3"/>
    <row r="2821" x14ac:dyDescent="0.3"/>
    <row r="2822" x14ac:dyDescent="0.3"/>
    <row r="2823" x14ac:dyDescent="0.3"/>
    <row r="2824" x14ac:dyDescent="0.3"/>
    <row r="2825" x14ac:dyDescent="0.3"/>
    <row r="2826" x14ac:dyDescent="0.3"/>
    <row r="2827" x14ac:dyDescent="0.3"/>
    <row r="2828" x14ac:dyDescent="0.3"/>
    <row r="2829" x14ac:dyDescent="0.3"/>
    <row r="2830" x14ac:dyDescent="0.3"/>
    <row r="2831" x14ac:dyDescent="0.3"/>
    <row r="2832" x14ac:dyDescent="0.3"/>
    <row r="2833" x14ac:dyDescent="0.3"/>
    <row r="2834" x14ac:dyDescent="0.3"/>
    <row r="2835" x14ac:dyDescent="0.3"/>
    <row r="2836" x14ac:dyDescent="0.3"/>
    <row r="2837" x14ac:dyDescent="0.3"/>
    <row r="2838" x14ac:dyDescent="0.3"/>
    <row r="2839" x14ac:dyDescent="0.3"/>
    <row r="2840" x14ac:dyDescent="0.3"/>
    <row r="2841" x14ac:dyDescent="0.3"/>
    <row r="2842" x14ac:dyDescent="0.3"/>
    <row r="2843" x14ac:dyDescent="0.3"/>
    <row r="2844" x14ac:dyDescent="0.3"/>
    <row r="2845" x14ac:dyDescent="0.3"/>
    <row r="2846" x14ac:dyDescent="0.3"/>
    <row r="2847" x14ac:dyDescent="0.3"/>
    <row r="2848" x14ac:dyDescent="0.3"/>
    <row r="2849" x14ac:dyDescent="0.3"/>
    <row r="2850" x14ac:dyDescent="0.3"/>
    <row r="2851" x14ac:dyDescent="0.3"/>
    <row r="2852" x14ac:dyDescent="0.3"/>
    <row r="2853" x14ac:dyDescent="0.3"/>
    <row r="2854" x14ac:dyDescent="0.3"/>
    <row r="2855" x14ac:dyDescent="0.3"/>
    <row r="2856" x14ac:dyDescent="0.3"/>
    <row r="2857" x14ac:dyDescent="0.3"/>
    <row r="2858" x14ac:dyDescent="0.3"/>
    <row r="2859" x14ac:dyDescent="0.3"/>
    <row r="2860" x14ac:dyDescent="0.3"/>
    <row r="2861" x14ac:dyDescent="0.3"/>
    <row r="2862" x14ac:dyDescent="0.3"/>
    <row r="2863" x14ac:dyDescent="0.3"/>
    <row r="2864" x14ac:dyDescent="0.3"/>
    <row r="2865" x14ac:dyDescent="0.3"/>
    <row r="2866" x14ac:dyDescent="0.3"/>
    <row r="2867" x14ac:dyDescent="0.3"/>
    <row r="2868" x14ac:dyDescent="0.3"/>
    <row r="2869" x14ac:dyDescent="0.3"/>
    <row r="2870" x14ac:dyDescent="0.3"/>
    <row r="2871" x14ac:dyDescent="0.3"/>
    <row r="2872" x14ac:dyDescent="0.3"/>
    <row r="2873" x14ac:dyDescent="0.3"/>
    <row r="2874" x14ac:dyDescent="0.3"/>
    <row r="2875" x14ac:dyDescent="0.3"/>
    <row r="2876" x14ac:dyDescent="0.3"/>
    <row r="2877" x14ac:dyDescent="0.3"/>
    <row r="2878" x14ac:dyDescent="0.3"/>
    <row r="2879" x14ac:dyDescent="0.3"/>
    <row r="2880" x14ac:dyDescent="0.3"/>
    <row r="2881" x14ac:dyDescent="0.3"/>
    <row r="2882" x14ac:dyDescent="0.3"/>
    <row r="2883" x14ac:dyDescent="0.3"/>
    <row r="2884" x14ac:dyDescent="0.3"/>
    <row r="2885" x14ac:dyDescent="0.3"/>
    <row r="2886" x14ac:dyDescent="0.3"/>
    <row r="2887" x14ac:dyDescent="0.3"/>
    <row r="2888" x14ac:dyDescent="0.3"/>
    <row r="2889" x14ac:dyDescent="0.3"/>
    <row r="2890" x14ac:dyDescent="0.3"/>
    <row r="2891" x14ac:dyDescent="0.3"/>
    <row r="2892" x14ac:dyDescent="0.3"/>
    <row r="2893" x14ac:dyDescent="0.3"/>
    <row r="2894" x14ac:dyDescent="0.3"/>
    <row r="2895" x14ac:dyDescent="0.3"/>
    <row r="2896" x14ac:dyDescent="0.3"/>
    <row r="2897" x14ac:dyDescent="0.3"/>
    <row r="2898" x14ac:dyDescent="0.3"/>
    <row r="2899" x14ac:dyDescent="0.3"/>
    <row r="2900" x14ac:dyDescent="0.3"/>
    <row r="2901" x14ac:dyDescent="0.3"/>
    <row r="2902" x14ac:dyDescent="0.3"/>
    <row r="2903" x14ac:dyDescent="0.3"/>
    <row r="2904" x14ac:dyDescent="0.3"/>
    <row r="2905" x14ac:dyDescent="0.3"/>
    <row r="2906" x14ac:dyDescent="0.3"/>
    <row r="2907" x14ac:dyDescent="0.3"/>
    <row r="2908" x14ac:dyDescent="0.3"/>
    <row r="2909" x14ac:dyDescent="0.3"/>
    <row r="2910" x14ac:dyDescent="0.3"/>
    <row r="2911" x14ac:dyDescent="0.3"/>
    <row r="2912" x14ac:dyDescent="0.3"/>
    <row r="2913" x14ac:dyDescent="0.3"/>
    <row r="2914" x14ac:dyDescent="0.3"/>
    <row r="2915" x14ac:dyDescent="0.3"/>
    <row r="2916" x14ac:dyDescent="0.3"/>
    <row r="2917" x14ac:dyDescent="0.3"/>
    <row r="2918" x14ac:dyDescent="0.3"/>
    <row r="2919" x14ac:dyDescent="0.3"/>
    <row r="2920" x14ac:dyDescent="0.3"/>
    <row r="2921" x14ac:dyDescent="0.3"/>
    <row r="2922" x14ac:dyDescent="0.3"/>
    <row r="2923" x14ac:dyDescent="0.3"/>
    <row r="2924" x14ac:dyDescent="0.3"/>
    <row r="2925" x14ac:dyDescent="0.3"/>
    <row r="2926" x14ac:dyDescent="0.3"/>
    <row r="2927" x14ac:dyDescent="0.3"/>
    <row r="2928" x14ac:dyDescent="0.3"/>
    <row r="2929" x14ac:dyDescent="0.3"/>
    <row r="2930" x14ac:dyDescent="0.3"/>
    <row r="2931" x14ac:dyDescent="0.3"/>
    <row r="2932" x14ac:dyDescent="0.3"/>
    <row r="2933" x14ac:dyDescent="0.3"/>
    <row r="2934" x14ac:dyDescent="0.3"/>
    <row r="2935" x14ac:dyDescent="0.3"/>
    <row r="2936" x14ac:dyDescent="0.3"/>
    <row r="2937" x14ac:dyDescent="0.3"/>
    <row r="2938" x14ac:dyDescent="0.3"/>
    <row r="2939" x14ac:dyDescent="0.3"/>
    <row r="2940" x14ac:dyDescent="0.3"/>
    <row r="2941" x14ac:dyDescent="0.3"/>
    <row r="2942" x14ac:dyDescent="0.3"/>
    <row r="2943" x14ac:dyDescent="0.3"/>
    <row r="2944" x14ac:dyDescent="0.3"/>
    <row r="2945" x14ac:dyDescent="0.3"/>
    <row r="2946" x14ac:dyDescent="0.3"/>
    <row r="2947" x14ac:dyDescent="0.3"/>
    <row r="2948" x14ac:dyDescent="0.3"/>
    <row r="2949" x14ac:dyDescent="0.3"/>
    <row r="2950" x14ac:dyDescent="0.3"/>
    <row r="2951" x14ac:dyDescent="0.3"/>
    <row r="2952" x14ac:dyDescent="0.3"/>
    <row r="2953" x14ac:dyDescent="0.3"/>
    <row r="2954" x14ac:dyDescent="0.3"/>
    <row r="2955" x14ac:dyDescent="0.3"/>
    <row r="2956" x14ac:dyDescent="0.3"/>
    <row r="2957" x14ac:dyDescent="0.3"/>
    <row r="2958" x14ac:dyDescent="0.3"/>
    <row r="2959" x14ac:dyDescent="0.3"/>
    <row r="2960" x14ac:dyDescent="0.3"/>
    <row r="2961" x14ac:dyDescent="0.3"/>
    <row r="2962" x14ac:dyDescent="0.3"/>
    <row r="2963" x14ac:dyDescent="0.3"/>
    <row r="2964" x14ac:dyDescent="0.3"/>
    <row r="2965" x14ac:dyDescent="0.3"/>
    <row r="2966" x14ac:dyDescent="0.3"/>
    <row r="2967" x14ac:dyDescent="0.3"/>
    <row r="2968" x14ac:dyDescent="0.3"/>
    <row r="2969" x14ac:dyDescent="0.3"/>
    <row r="2970" x14ac:dyDescent="0.3"/>
    <row r="2971" x14ac:dyDescent="0.3"/>
    <row r="2972" x14ac:dyDescent="0.3"/>
    <row r="2973" x14ac:dyDescent="0.3"/>
    <row r="2974" x14ac:dyDescent="0.3"/>
    <row r="2975" x14ac:dyDescent="0.3"/>
    <row r="2976" x14ac:dyDescent="0.3"/>
    <row r="2977" x14ac:dyDescent="0.3"/>
    <row r="2978" x14ac:dyDescent="0.3"/>
    <row r="2979" x14ac:dyDescent="0.3"/>
    <row r="2980" x14ac:dyDescent="0.3"/>
    <row r="2981" x14ac:dyDescent="0.3"/>
    <row r="2982" x14ac:dyDescent="0.3"/>
    <row r="2983" x14ac:dyDescent="0.3"/>
    <row r="2984" x14ac:dyDescent="0.3"/>
    <row r="2985" x14ac:dyDescent="0.3"/>
    <row r="2986" x14ac:dyDescent="0.3"/>
    <row r="2987" x14ac:dyDescent="0.3"/>
    <row r="2988" x14ac:dyDescent="0.3"/>
    <row r="2989" x14ac:dyDescent="0.3"/>
    <row r="2990" x14ac:dyDescent="0.3"/>
    <row r="2991" x14ac:dyDescent="0.3"/>
    <row r="2992" x14ac:dyDescent="0.3"/>
    <row r="2993" x14ac:dyDescent="0.3"/>
    <row r="2994" x14ac:dyDescent="0.3"/>
    <row r="2995" x14ac:dyDescent="0.3"/>
    <row r="2996" x14ac:dyDescent="0.3"/>
    <row r="2997" x14ac:dyDescent="0.3"/>
    <row r="2998" x14ac:dyDescent="0.3"/>
    <row r="2999" x14ac:dyDescent="0.3"/>
    <row r="3000" x14ac:dyDescent="0.3"/>
  </sheetData>
  <sheetProtection sort="0" autoFilter="0"/>
  <conditionalFormatting sqref="A1:A1048576">
    <cfRule type="duplicateValues" dxfId="42" priority="39"/>
  </conditionalFormatting>
  <conditionalFormatting sqref="E2">
    <cfRule type="expression" dxfId="41" priority="30">
      <formula>$AM2="Priorizado"</formula>
    </cfRule>
  </conditionalFormatting>
  <conditionalFormatting sqref="A2">
    <cfRule type="duplicateValues" dxfId="40" priority="14832"/>
  </conditionalFormatting>
  <conditionalFormatting sqref="C1:C2">
    <cfRule type="duplicateValues" dxfId="39" priority="14833"/>
  </conditionalFormatting>
  <conditionalFormatting sqref="C1:C1048576">
    <cfRule type="duplicateValues" dxfId="38" priority="14834"/>
  </conditionalFormatting>
  <conditionalFormatting sqref="C2">
    <cfRule type="duplicateValues" dxfId="37" priority="14837"/>
  </conditionalFormatting>
  <conditionalFormatting sqref="C1:C1048576">
    <cfRule type="duplicateValues" dxfId="36" priority="14838"/>
  </conditionalFormatting>
  <conditionalFormatting sqref="C1:C1048576">
    <cfRule type="duplicateValues" dxfId="35" priority="14841"/>
  </conditionalFormatting>
  <conditionalFormatting sqref="C1:C1048576">
    <cfRule type="duplicateValues" dxfId="34" priority="14844"/>
  </conditionalFormatting>
  <conditionalFormatting sqref="C1:C1048576">
    <cfRule type="duplicateValues" dxfId="33" priority="14847"/>
  </conditionalFormatting>
  <conditionalFormatting sqref="C1:C1048576">
    <cfRule type="duplicateValues" dxfId="32" priority="14850"/>
    <cfRule type="duplicateValues" dxfId="31" priority="14851"/>
  </conditionalFormatting>
  <conditionalFormatting sqref="C1:C1048576">
    <cfRule type="duplicateValues" dxfId="30" priority="14856"/>
    <cfRule type="duplicateValues" dxfId="29" priority="14857"/>
  </conditionalFormatting>
  <conditionalFormatting sqref="C1:C1048576">
    <cfRule type="duplicateValues" dxfId="28" priority="14862"/>
  </conditionalFormatting>
  <conditionalFormatting sqref="C1:C1048576">
    <cfRule type="duplicateValues" dxfId="27" priority="14865"/>
  </conditionalFormatting>
  <conditionalFormatting sqref="C1:C1048576">
    <cfRule type="duplicateValues" dxfId="26" priority="14868"/>
  </conditionalFormatting>
  <conditionalFormatting sqref="C1:C1048576">
    <cfRule type="duplicateValues" dxfId="25" priority="14871"/>
    <cfRule type="duplicateValues" dxfId="24" priority="14872"/>
  </conditionalFormatting>
  <conditionalFormatting sqref="C1:C1048576">
    <cfRule type="duplicateValues" dxfId="23" priority="14877"/>
  </conditionalFormatting>
  <conditionalFormatting sqref="C1:C1048576">
    <cfRule type="duplicateValues" dxfId="22" priority="14880"/>
  </conditionalFormatting>
  <conditionalFormatting sqref="C1:C1048576">
    <cfRule type="duplicateValues" dxfId="21" priority="14886"/>
  </conditionalFormatting>
  <conditionalFormatting sqref="C1:C1048576">
    <cfRule type="duplicateValues" dxfId="20" priority="14889"/>
  </conditionalFormatting>
  <conditionalFormatting sqref="C1:C1048576">
    <cfRule type="duplicateValues" dxfId="19" priority="14892"/>
  </conditionalFormatting>
  <conditionalFormatting sqref="C1:C1048576">
    <cfRule type="duplicateValues" dxfId="18" priority="14895"/>
  </conditionalFormatting>
  <conditionalFormatting sqref="C1:C1048576">
    <cfRule type="duplicateValues" dxfId="17" priority="14898"/>
  </conditionalFormatting>
  <conditionalFormatting sqref="C1:C1048576">
    <cfRule type="duplicateValues" dxfId="16" priority="14901"/>
    <cfRule type="duplicateValues" dxfId="15" priority="14902"/>
  </conditionalFormatting>
  <conditionalFormatting sqref="C3:C1048576">
    <cfRule type="duplicateValues" dxfId="14" priority="14907"/>
  </conditionalFormatting>
  <conditionalFormatting sqref="C1:C1048576">
    <cfRule type="duplicateValues" dxfId="13" priority="14909"/>
  </conditionalFormatting>
  <dataValidations count="4">
    <dataValidation type="list" allowBlank="1" showInputMessage="1" showErrorMessage="1" sqref="G2 S2 W2 Z2 K2 N1:N2" xr:uid="{BBD10013-ED27-4DB8-8F59-BB956CBE84EF}">
      <formula1>INDIRECT("tabla21[]")</formula1>
    </dataValidation>
    <dataValidation type="list" allowBlank="1" showInputMessage="1" showErrorMessage="1" sqref="R2 T2 V2 F2 J2 H2" xr:uid="{DDE9653E-1D5F-42F9-888E-2B61C9C7C48F}">
      <formula1>INDIRECT("tabla20[]")</formula1>
    </dataValidation>
    <dataValidation type="list" allowBlank="1" showInputMessage="1" showErrorMessage="1" sqref="U2 X2:Y2 L2:M2 I2" xr:uid="{B8A4DBD3-74A9-41B3-BBF3-33F66FCE5BA0}">
      <formula1>INDIRECT("tabla22[]")</formula1>
    </dataValidation>
    <dataValidation type="list" allowBlank="1" showInputMessage="1" showErrorMessage="1" sqref="B2" xr:uid="{017A271E-D5AF-4CDA-8F51-FB208985CB18}">
      <formula1>INDIRECT("tabla5[]")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FF1C-BD65-4938-A12E-B6FD32D2F912}">
  <dimension ref="A1:C301"/>
  <sheetViews>
    <sheetView topLeftCell="A280" workbookViewId="0">
      <selection activeCell="A301" sqref="A301"/>
    </sheetView>
  </sheetViews>
  <sheetFormatPr baseColWidth="10" defaultColWidth="8.88671875" defaultRowHeight="14.4" x14ac:dyDescent="0.3"/>
  <cols>
    <col min="1" max="1" width="31.33203125" bestFit="1" customWidth="1"/>
    <col min="2" max="2" width="11.6640625" bestFit="1" customWidth="1"/>
    <col min="3" max="3" width="9.44140625" bestFit="1" customWidth="1"/>
  </cols>
  <sheetData>
    <row r="1" spans="1:3" x14ac:dyDescent="0.3">
      <c r="A1" t="s">
        <v>208</v>
      </c>
      <c r="B1" t="s">
        <v>209</v>
      </c>
      <c r="C1" t="s">
        <v>180</v>
      </c>
    </row>
    <row r="2" spans="1:3" x14ac:dyDescent="0.3">
      <c r="A2">
        <v>7</v>
      </c>
      <c r="B2">
        <v>1088240668</v>
      </c>
      <c r="C2" t="s">
        <v>203</v>
      </c>
    </row>
    <row r="3" spans="1:3" x14ac:dyDescent="0.3">
      <c r="A3">
        <v>40</v>
      </c>
      <c r="B3">
        <v>1000577533</v>
      </c>
      <c r="C3" t="s">
        <v>203</v>
      </c>
    </row>
    <row r="4" spans="1:3" x14ac:dyDescent="0.3">
      <c r="A4">
        <v>49</v>
      </c>
      <c r="B4">
        <v>1192831964</v>
      </c>
      <c r="C4" t="s">
        <v>203</v>
      </c>
    </row>
    <row r="5" spans="1:3" x14ac:dyDescent="0.3">
      <c r="A5">
        <v>53</v>
      </c>
      <c r="B5">
        <v>1045738056</v>
      </c>
      <c r="C5" t="s">
        <v>203</v>
      </c>
    </row>
    <row r="6" spans="1:3" x14ac:dyDescent="0.3">
      <c r="A6">
        <v>60</v>
      </c>
      <c r="B6">
        <v>32623181</v>
      </c>
      <c r="C6" t="s">
        <v>203</v>
      </c>
    </row>
    <row r="7" spans="1:3" x14ac:dyDescent="0.3">
      <c r="A7">
        <v>80</v>
      </c>
      <c r="B7">
        <v>31430766</v>
      </c>
      <c r="C7" t="s">
        <v>203</v>
      </c>
    </row>
    <row r="8" spans="1:3" x14ac:dyDescent="0.3">
      <c r="A8">
        <v>107</v>
      </c>
      <c r="B8">
        <v>1032382560</v>
      </c>
      <c r="C8" t="s">
        <v>203</v>
      </c>
    </row>
    <row r="9" spans="1:3" x14ac:dyDescent="0.3">
      <c r="A9">
        <v>112</v>
      </c>
      <c r="B9">
        <v>1105613030</v>
      </c>
      <c r="C9" t="s">
        <v>203</v>
      </c>
    </row>
    <row r="10" spans="1:3" x14ac:dyDescent="0.3">
      <c r="A10">
        <v>123</v>
      </c>
      <c r="B10">
        <v>1193146888</v>
      </c>
      <c r="C10" t="s">
        <v>203</v>
      </c>
    </row>
    <row r="11" spans="1:3" x14ac:dyDescent="0.3">
      <c r="A11">
        <v>138</v>
      </c>
      <c r="B11">
        <v>1130644104</v>
      </c>
      <c r="C11" t="s">
        <v>203</v>
      </c>
    </row>
    <row r="12" spans="1:3" x14ac:dyDescent="0.3">
      <c r="A12">
        <v>140</v>
      </c>
      <c r="B12">
        <v>1143245515</v>
      </c>
      <c r="C12" t="s">
        <v>203</v>
      </c>
    </row>
    <row r="13" spans="1:3" x14ac:dyDescent="0.3">
      <c r="A13">
        <v>143</v>
      </c>
      <c r="B13">
        <v>1098693522</v>
      </c>
      <c r="C13" t="s">
        <v>203</v>
      </c>
    </row>
    <row r="14" spans="1:3" x14ac:dyDescent="0.3">
      <c r="A14">
        <v>163</v>
      </c>
      <c r="B14">
        <v>1118166983</v>
      </c>
      <c r="C14" t="s">
        <v>203</v>
      </c>
    </row>
    <row r="15" spans="1:3" x14ac:dyDescent="0.3">
      <c r="A15">
        <v>165</v>
      </c>
      <c r="B15">
        <v>1119888120</v>
      </c>
      <c r="C15" t="s">
        <v>203</v>
      </c>
    </row>
    <row r="16" spans="1:3" x14ac:dyDescent="0.3">
      <c r="A16">
        <v>166</v>
      </c>
      <c r="B16">
        <v>1019068821</v>
      </c>
      <c r="C16" t="s">
        <v>203</v>
      </c>
    </row>
    <row r="17" spans="1:3" x14ac:dyDescent="0.3">
      <c r="A17">
        <v>175</v>
      </c>
      <c r="B17">
        <v>52118816</v>
      </c>
      <c r="C17" t="s">
        <v>203</v>
      </c>
    </row>
    <row r="18" spans="1:3" x14ac:dyDescent="0.3">
      <c r="A18">
        <v>187</v>
      </c>
      <c r="B18">
        <v>1032411224</v>
      </c>
      <c r="C18" t="s">
        <v>203</v>
      </c>
    </row>
    <row r="19" spans="1:3" x14ac:dyDescent="0.3">
      <c r="A19">
        <v>199</v>
      </c>
      <c r="B19">
        <v>1098830344</v>
      </c>
      <c r="C19" t="s">
        <v>203</v>
      </c>
    </row>
    <row r="20" spans="1:3" x14ac:dyDescent="0.3">
      <c r="A20">
        <v>202</v>
      </c>
      <c r="B20">
        <v>1098773791</v>
      </c>
      <c r="C20" t="s">
        <v>203</v>
      </c>
    </row>
    <row r="21" spans="1:3" x14ac:dyDescent="0.3">
      <c r="A21">
        <v>211</v>
      </c>
      <c r="B21">
        <v>1117539386</v>
      </c>
      <c r="C21" t="s">
        <v>203</v>
      </c>
    </row>
    <row r="22" spans="1:3" x14ac:dyDescent="0.3">
      <c r="A22">
        <v>223</v>
      </c>
      <c r="B22">
        <v>1055834414</v>
      </c>
      <c r="C22" t="s">
        <v>203</v>
      </c>
    </row>
    <row r="23" spans="1:3" x14ac:dyDescent="0.3">
      <c r="A23">
        <v>232</v>
      </c>
      <c r="B23">
        <v>1016006963</v>
      </c>
      <c r="C23" t="s">
        <v>203</v>
      </c>
    </row>
    <row r="24" spans="1:3" x14ac:dyDescent="0.3">
      <c r="A24">
        <v>236</v>
      </c>
      <c r="B24">
        <v>1098811467</v>
      </c>
      <c r="C24" t="s">
        <v>203</v>
      </c>
    </row>
    <row r="25" spans="1:3" x14ac:dyDescent="0.3">
      <c r="A25">
        <v>280</v>
      </c>
      <c r="B25">
        <v>38263092</v>
      </c>
      <c r="C25" t="s">
        <v>203</v>
      </c>
    </row>
    <row r="26" spans="1:3" x14ac:dyDescent="0.3">
      <c r="A26">
        <v>297</v>
      </c>
      <c r="B26">
        <v>1032506794</v>
      </c>
      <c r="C26" t="s">
        <v>203</v>
      </c>
    </row>
    <row r="27" spans="1:3" x14ac:dyDescent="0.3">
      <c r="A27">
        <v>332</v>
      </c>
      <c r="B27">
        <v>52078973</v>
      </c>
      <c r="C27" t="s">
        <v>203</v>
      </c>
    </row>
    <row r="28" spans="1:3" x14ac:dyDescent="0.3">
      <c r="A28">
        <v>334</v>
      </c>
      <c r="B28">
        <v>1000747660</v>
      </c>
      <c r="C28" t="s">
        <v>203</v>
      </c>
    </row>
    <row r="29" spans="1:3" x14ac:dyDescent="0.3">
      <c r="A29">
        <v>343</v>
      </c>
      <c r="B29">
        <v>1007357812</v>
      </c>
      <c r="C29" t="s">
        <v>203</v>
      </c>
    </row>
    <row r="30" spans="1:3" x14ac:dyDescent="0.3">
      <c r="A30">
        <v>359</v>
      </c>
      <c r="B30">
        <v>1016057868</v>
      </c>
      <c r="C30" t="s">
        <v>203</v>
      </c>
    </row>
    <row r="31" spans="1:3" x14ac:dyDescent="0.3">
      <c r="A31">
        <v>389</v>
      </c>
      <c r="B31">
        <v>1065139583</v>
      </c>
      <c r="C31" t="s">
        <v>203</v>
      </c>
    </row>
    <row r="32" spans="1:3" x14ac:dyDescent="0.3">
      <c r="A32">
        <v>393</v>
      </c>
      <c r="C32" t="s">
        <v>203</v>
      </c>
    </row>
    <row r="33" spans="1:3" x14ac:dyDescent="0.3">
      <c r="A33">
        <v>399</v>
      </c>
      <c r="B33">
        <v>41962868</v>
      </c>
      <c r="C33" t="s">
        <v>203</v>
      </c>
    </row>
    <row r="34" spans="1:3" x14ac:dyDescent="0.3">
      <c r="A34">
        <v>412</v>
      </c>
      <c r="B34">
        <v>1012423789</v>
      </c>
      <c r="C34" t="s">
        <v>203</v>
      </c>
    </row>
    <row r="35" spans="1:3" x14ac:dyDescent="0.3">
      <c r="A35">
        <v>442</v>
      </c>
      <c r="B35">
        <v>39275571</v>
      </c>
      <c r="C35" t="s">
        <v>203</v>
      </c>
    </row>
    <row r="36" spans="1:3" x14ac:dyDescent="0.3">
      <c r="A36">
        <v>450</v>
      </c>
      <c r="B36">
        <v>1069462718</v>
      </c>
      <c r="C36" t="s">
        <v>203</v>
      </c>
    </row>
    <row r="37" spans="1:3" x14ac:dyDescent="0.3">
      <c r="A37">
        <v>470</v>
      </c>
      <c r="B37">
        <v>1026569075</v>
      </c>
      <c r="C37" t="s">
        <v>203</v>
      </c>
    </row>
    <row r="38" spans="1:3" x14ac:dyDescent="0.3">
      <c r="A38">
        <v>471</v>
      </c>
      <c r="B38">
        <v>1110579606</v>
      </c>
      <c r="C38" t="s">
        <v>203</v>
      </c>
    </row>
    <row r="39" spans="1:3" x14ac:dyDescent="0.3">
      <c r="A39">
        <v>474</v>
      </c>
      <c r="B39">
        <v>1233509561</v>
      </c>
      <c r="C39" t="s">
        <v>203</v>
      </c>
    </row>
    <row r="40" spans="1:3" x14ac:dyDescent="0.3">
      <c r="A40">
        <v>488</v>
      </c>
      <c r="B40">
        <v>1073674147</v>
      </c>
      <c r="C40" t="s">
        <v>203</v>
      </c>
    </row>
    <row r="41" spans="1:3" x14ac:dyDescent="0.3">
      <c r="A41">
        <v>497</v>
      </c>
      <c r="B41">
        <v>1005875342</v>
      </c>
      <c r="C41" t="s">
        <v>203</v>
      </c>
    </row>
    <row r="42" spans="1:3" x14ac:dyDescent="0.3">
      <c r="A42">
        <v>513</v>
      </c>
      <c r="B42">
        <v>43000783</v>
      </c>
      <c r="C42" t="s">
        <v>203</v>
      </c>
    </row>
    <row r="43" spans="1:3" x14ac:dyDescent="0.3">
      <c r="A43">
        <v>527</v>
      </c>
      <c r="B43">
        <v>39176434</v>
      </c>
      <c r="C43" t="s">
        <v>203</v>
      </c>
    </row>
    <row r="44" spans="1:3" x14ac:dyDescent="0.3">
      <c r="A44">
        <v>534</v>
      </c>
      <c r="B44">
        <v>1036681816</v>
      </c>
      <c r="C44" t="s">
        <v>203</v>
      </c>
    </row>
    <row r="45" spans="1:3" x14ac:dyDescent="0.3">
      <c r="A45">
        <v>535</v>
      </c>
      <c r="B45">
        <v>1010131310</v>
      </c>
      <c r="C45" t="s">
        <v>203</v>
      </c>
    </row>
    <row r="46" spans="1:3" x14ac:dyDescent="0.3">
      <c r="A46">
        <v>542</v>
      </c>
      <c r="B46">
        <v>1036651795</v>
      </c>
      <c r="C46" t="s">
        <v>203</v>
      </c>
    </row>
    <row r="47" spans="1:3" x14ac:dyDescent="0.3">
      <c r="A47">
        <v>544</v>
      </c>
      <c r="B47">
        <v>1111263633</v>
      </c>
      <c r="C47" t="s">
        <v>203</v>
      </c>
    </row>
    <row r="48" spans="1:3" x14ac:dyDescent="0.3">
      <c r="A48">
        <v>547</v>
      </c>
      <c r="B48">
        <v>1023925084</v>
      </c>
      <c r="C48" t="s">
        <v>203</v>
      </c>
    </row>
    <row r="49" spans="1:3" x14ac:dyDescent="0.3">
      <c r="A49">
        <v>554</v>
      </c>
      <c r="B49">
        <v>1097723155</v>
      </c>
      <c r="C49" t="s">
        <v>203</v>
      </c>
    </row>
    <row r="50" spans="1:3" x14ac:dyDescent="0.3">
      <c r="A50">
        <v>567</v>
      </c>
      <c r="B50">
        <v>1049827033</v>
      </c>
      <c r="C50" t="s">
        <v>203</v>
      </c>
    </row>
    <row r="51" spans="1:3" x14ac:dyDescent="0.3">
      <c r="A51">
        <v>568</v>
      </c>
      <c r="B51">
        <v>29568694</v>
      </c>
      <c r="C51" t="s">
        <v>203</v>
      </c>
    </row>
    <row r="52" spans="1:3" x14ac:dyDescent="0.3">
      <c r="A52">
        <v>576</v>
      </c>
      <c r="B52">
        <v>35512705</v>
      </c>
      <c r="C52" t="s">
        <v>203</v>
      </c>
    </row>
    <row r="53" spans="1:3" x14ac:dyDescent="0.3">
      <c r="A53">
        <v>585</v>
      </c>
      <c r="B53">
        <v>1045495232</v>
      </c>
      <c r="C53" t="s">
        <v>203</v>
      </c>
    </row>
    <row r="54" spans="1:3" x14ac:dyDescent="0.3">
      <c r="A54">
        <v>589</v>
      </c>
      <c r="B54">
        <v>33313374</v>
      </c>
      <c r="C54" t="s">
        <v>203</v>
      </c>
    </row>
    <row r="55" spans="1:3" x14ac:dyDescent="0.3">
      <c r="A55">
        <v>590</v>
      </c>
      <c r="B55">
        <v>1108828869</v>
      </c>
      <c r="C55" t="s">
        <v>203</v>
      </c>
    </row>
    <row r="56" spans="1:3" x14ac:dyDescent="0.3">
      <c r="A56">
        <v>591</v>
      </c>
      <c r="B56">
        <v>52468261</v>
      </c>
      <c r="C56" t="s">
        <v>203</v>
      </c>
    </row>
    <row r="57" spans="1:3" x14ac:dyDescent="0.3">
      <c r="A57">
        <v>592</v>
      </c>
      <c r="B57">
        <v>52877918</v>
      </c>
      <c r="C57" t="s">
        <v>203</v>
      </c>
    </row>
    <row r="58" spans="1:3" x14ac:dyDescent="0.3">
      <c r="A58">
        <v>613</v>
      </c>
      <c r="B58">
        <v>52757137</v>
      </c>
      <c r="C58" t="s">
        <v>203</v>
      </c>
    </row>
    <row r="59" spans="1:3" x14ac:dyDescent="0.3">
      <c r="A59">
        <v>615</v>
      </c>
      <c r="B59">
        <v>1193095057</v>
      </c>
      <c r="C59" t="s">
        <v>203</v>
      </c>
    </row>
    <row r="60" spans="1:3" x14ac:dyDescent="0.3">
      <c r="A60">
        <v>626</v>
      </c>
      <c r="B60">
        <v>1012335209</v>
      </c>
      <c r="C60" t="s">
        <v>203</v>
      </c>
    </row>
    <row r="61" spans="1:3" x14ac:dyDescent="0.3">
      <c r="A61">
        <v>673</v>
      </c>
      <c r="B61">
        <v>1098702593</v>
      </c>
      <c r="C61" t="s">
        <v>203</v>
      </c>
    </row>
    <row r="62" spans="1:3" x14ac:dyDescent="0.3">
      <c r="A62">
        <v>679</v>
      </c>
      <c r="B62">
        <v>1050956801</v>
      </c>
      <c r="C62" t="s">
        <v>203</v>
      </c>
    </row>
    <row r="63" spans="1:3" x14ac:dyDescent="0.3">
      <c r="A63">
        <v>683</v>
      </c>
      <c r="B63">
        <v>51931446</v>
      </c>
      <c r="C63" t="s">
        <v>203</v>
      </c>
    </row>
    <row r="64" spans="1:3" x14ac:dyDescent="0.3">
      <c r="A64">
        <v>693</v>
      </c>
      <c r="B64">
        <v>43960690</v>
      </c>
      <c r="C64" t="s">
        <v>203</v>
      </c>
    </row>
    <row r="65" spans="1:3" x14ac:dyDescent="0.3">
      <c r="A65">
        <v>701</v>
      </c>
      <c r="B65">
        <v>29178437</v>
      </c>
      <c r="C65" t="s">
        <v>203</v>
      </c>
    </row>
    <row r="66" spans="1:3" x14ac:dyDescent="0.3">
      <c r="A66">
        <v>731</v>
      </c>
      <c r="B66">
        <v>56055632</v>
      </c>
      <c r="C66" t="s">
        <v>203</v>
      </c>
    </row>
    <row r="67" spans="1:3" x14ac:dyDescent="0.3">
      <c r="A67">
        <v>740</v>
      </c>
      <c r="B67">
        <v>52315373</v>
      </c>
      <c r="C67" t="s">
        <v>203</v>
      </c>
    </row>
    <row r="68" spans="1:3" x14ac:dyDescent="0.3">
      <c r="A68">
        <v>746</v>
      </c>
      <c r="B68">
        <v>24333348</v>
      </c>
      <c r="C68" t="s">
        <v>203</v>
      </c>
    </row>
    <row r="69" spans="1:3" x14ac:dyDescent="0.3">
      <c r="A69">
        <v>762</v>
      </c>
      <c r="B69">
        <v>52763702</v>
      </c>
      <c r="C69" t="s">
        <v>203</v>
      </c>
    </row>
    <row r="70" spans="1:3" x14ac:dyDescent="0.3">
      <c r="A70">
        <v>775</v>
      </c>
      <c r="B70">
        <v>52876702</v>
      </c>
      <c r="C70" t="s">
        <v>203</v>
      </c>
    </row>
    <row r="71" spans="1:3" x14ac:dyDescent="0.3">
      <c r="A71">
        <v>817</v>
      </c>
      <c r="B71">
        <v>1019141273</v>
      </c>
      <c r="C71" t="s">
        <v>203</v>
      </c>
    </row>
    <row r="72" spans="1:3" x14ac:dyDescent="0.3">
      <c r="A72">
        <v>828</v>
      </c>
      <c r="B72">
        <v>1104424835</v>
      </c>
      <c r="C72" t="s">
        <v>203</v>
      </c>
    </row>
    <row r="73" spans="1:3" ht="28.8" x14ac:dyDescent="0.3">
      <c r="A73">
        <v>836</v>
      </c>
      <c r="B73" s="1" t="s">
        <v>207</v>
      </c>
      <c r="C73" t="s">
        <v>203</v>
      </c>
    </row>
    <row r="74" spans="1:3" x14ac:dyDescent="0.3">
      <c r="A74">
        <v>837</v>
      </c>
      <c r="B74">
        <v>1088310140</v>
      </c>
      <c r="C74" t="s">
        <v>203</v>
      </c>
    </row>
    <row r="75" spans="1:3" x14ac:dyDescent="0.3">
      <c r="A75">
        <v>845</v>
      </c>
      <c r="B75">
        <v>1124216776</v>
      </c>
      <c r="C75" t="s">
        <v>203</v>
      </c>
    </row>
    <row r="76" spans="1:3" x14ac:dyDescent="0.3">
      <c r="A76">
        <v>847</v>
      </c>
      <c r="B76">
        <v>67014351</v>
      </c>
      <c r="C76" t="s">
        <v>203</v>
      </c>
    </row>
    <row r="77" spans="1:3" x14ac:dyDescent="0.3">
      <c r="A77">
        <v>854</v>
      </c>
      <c r="B77">
        <v>36066537</v>
      </c>
      <c r="C77" t="s">
        <v>203</v>
      </c>
    </row>
    <row r="78" spans="1:3" x14ac:dyDescent="0.3">
      <c r="A78">
        <v>862</v>
      </c>
      <c r="B78">
        <v>28566868</v>
      </c>
      <c r="C78" t="s">
        <v>203</v>
      </c>
    </row>
    <row r="79" spans="1:3" x14ac:dyDescent="0.3">
      <c r="A79">
        <v>894</v>
      </c>
      <c r="B79">
        <v>1048210442</v>
      </c>
      <c r="C79" t="s">
        <v>203</v>
      </c>
    </row>
    <row r="80" spans="1:3" x14ac:dyDescent="0.3">
      <c r="A80">
        <v>921</v>
      </c>
      <c r="B80">
        <v>1095831895</v>
      </c>
      <c r="C80" t="s">
        <v>203</v>
      </c>
    </row>
    <row r="81" spans="1:3" x14ac:dyDescent="0.3">
      <c r="A81">
        <v>936</v>
      </c>
      <c r="B81">
        <v>52984078</v>
      </c>
      <c r="C81" t="s">
        <v>203</v>
      </c>
    </row>
    <row r="82" spans="1:3" x14ac:dyDescent="0.3">
      <c r="A82">
        <v>943</v>
      </c>
      <c r="B82">
        <v>52254358</v>
      </c>
      <c r="C82" t="s">
        <v>203</v>
      </c>
    </row>
    <row r="83" spans="1:3" x14ac:dyDescent="0.3">
      <c r="A83">
        <v>944</v>
      </c>
      <c r="B83">
        <v>1036673633</v>
      </c>
      <c r="C83" t="s">
        <v>203</v>
      </c>
    </row>
    <row r="84" spans="1:3" x14ac:dyDescent="0.3">
      <c r="A84">
        <v>987</v>
      </c>
      <c r="B84">
        <v>1017283571</v>
      </c>
      <c r="C84" t="s">
        <v>203</v>
      </c>
    </row>
    <row r="85" spans="1:3" x14ac:dyDescent="0.3">
      <c r="A85">
        <v>998</v>
      </c>
      <c r="B85">
        <v>1020828751</v>
      </c>
      <c r="C85" t="s">
        <v>203</v>
      </c>
    </row>
    <row r="86" spans="1:3" x14ac:dyDescent="0.3">
      <c r="A86">
        <v>1010</v>
      </c>
      <c r="B86">
        <v>1042773681</v>
      </c>
      <c r="C86" t="s">
        <v>203</v>
      </c>
    </row>
    <row r="87" spans="1:3" x14ac:dyDescent="0.3">
      <c r="A87">
        <v>1036</v>
      </c>
      <c r="B87">
        <v>1007472860</v>
      </c>
      <c r="C87" t="s">
        <v>203</v>
      </c>
    </row>
    <row r="88" spans="1:3" x14ac:dyDescent="0.3">
      <c r="A88">
        <v>1049</v>
      </c>
      <c r="B88">
        <v>1027891083</v>
      </c>
      <c r="C88" t="s">
        <v>203</v>
      </c>
    </row>
    <row r="89" spans="1:3" x14ac:dyDescent="0.3">
      <c r="A89">
        <v>1062</v>
      </c>
      <c r="B89">
        <v>52296293</v>
      </c>
      <c r="C89" t="s">
        <v>203</v>
      </c>
    </row>
    <row r="90" spans="1:3" x14ac:dyDescent="0.3">
      <c r="A90">
        <v>1076</v>
      </c>
      <c r="B90">
        <v>1046701307</v>
      </c>
      <c r="C90" t="s">
        <v>203</v>
      </c>
    </row>
    <row r="91" spans="1:3" x14ac:dyDescent="0.3">
      <c r="A91">
        <v>1089</v>
      </c>
      <c r="B91">
        <v>1091671567</v>
      </c>
      <c r="C91" t="s">
        <v>203</v>
      </c>
    </row>
    <row r="92" spans="1:3" x14ac:dyDescent="0.3">
      <c r="A92">
        <v>1127</v>
      </c>
      <c r="B92">
        <v>1030661853</v>
      </c>
      <c r="C92" t="s">
        <v>203</v>
      </c>
    </row>
    <row r="93" spans="1:3" x14ac:dyDescent="0.3">
      <c r="A93">
        <v>4</v>
      </c>
      <c r="B93">
        <v>39658161</v>
      </c>
      <c r="C93" t="s">
        <v>203</v>
      </c>
    </row>
    <row r="94" spans="1:3" x14ac:dyDescent="0.3">
      <c r="A94">
        <v>10</v>
      </c>
      <c r="B94">
        <v>28688965</v>
      </c>
      <c r="C94" t="s">
        <v>203</v>
      </c>
    </row>
    <row r="95" spans="1:3" x14ac:dyDescent="0.3">
      <c r="A95">
        <v>73</v>
      </c>
      <c r="B95">
        <v>1098659766</v>
      </c>
      <c r="C95" t="s">
        <v>203</v>
      </c>
    </row>
    <row r="96" spans="1:3" x14ac:dyDescent="0.3">
      <c r="A96">
        <v>94</v>
      </c>
      <c r="B96">
        <v>1032381731</v>
      </c>
      <c r="C96" t="s">
        <v>203</v>
      </c>
    </row>
    <row r="97" spans="1:3" x14ac:dyDescent="0.3">
      <c r="A97">
        <v>96</v>
      </c>
      <c r="B97">
        <v>1032388009</v>
      </c>
      <c r="C97" t="s">
        <v>203</v>
      </c>
    </row>
    <row r="98" spans="1:3" x14ac:dyDescent="0.3">
      <c r="A98">
        <v>100</v>
      </c>
      <c r="B98">
        <v>1035430122</v>
      </c>
      <c r="C98" t="s">
        <v>203</v>
      </c>
    </row>
    <row r="99" spans="1:3" x14ac:dyDescent="0.3">
      <c r="A99">
        <v>106</v>
      </c>
      <c r="B99">
        <v>1098732369</v>
      </c>
      <c r="C99" t="s">
        <v>203</v>
      </c>
    </row>
    <row r="100" spans="1:3" x14ac:dyDescent="0.3">
      <c r="A100">
        <v>109</v>
      </c>
      <c r="B100">
        <v>1082893951</v>
      </c>
      <c r="C100" t="s">
        <v>203</v>
      </c>
    </row>
    <row r="101" spans="1:3" x14ac:dyDescent="0.3">
      <c r="A101">
        <v>111</v>
      </c>
      <c r="B101">
        <v>38144124</v>
      </c>
      <c r="C101" t="s">
        <v>203</v>
      </c>
    </row>
    <row r="102" spans="1:3" x14ac:dyDescent="0.3">
      <c r="A102">
        <v>134</v>
      </c>
      <c r="B102">
        <v>1193121416</v>
      </c>
      <c r="C102" t="s">
        <v>203</v>
      </c>
    </row>
    <row r="103" spans="1:3" x14ac:dyDescent="0.3">
      <c r="A103">
        <v>146</v>
      </c>
      <c r="B103">
        <v>55228800</v>
      </c>
      <c r="C103" t="s">
        <v>203</v>
      </c>
    </row>
    <row r="104" spans="1:3" x14ac:dyDescent="0.3">
      <c r="A104">
        <v>169</v>
      </c>
      <c r="B104">
        <v>22009445</v>
      </c>
      <c r="C104" t="s">
        <v>203</v>
      </c>
    </row>
    <row r="105" spans="1:3" x14ac:dyDescent="0.3">
      <c r="A105">
        <v>178</v>
      </c>
      <c r="B105">
        <v>1065655956</v>
      </c>
      <c r="C105" t="s">
        <v>203</v>
      </c>
    </row>
    <row r="106" spans="1:3" x14ac:dyDescent="0.3">
      <c r="A106">
        <v>184</v>
      </c>
      <c r="B106">
        <v>1069128670</v>
      </c>
      <c r="C106" t="s">
        <v>203</v>
      </c>
    </row>
    <row r="107" spans="1:3" x14ac:dyDescent="0.3">
      <c r="A107">
        <v>203</v>
      </c>
      <c r="B107">
        <v>1037572240</v>
      </c>
      <c r="C107" t="s">
        <v>203</v>
      </c>
    </row>
    <row r="108" spans="1:3" x14ac:dyDescent="0.3">
      <c r="A108">
        <v>204</v>
      </c>
      <c r="B108">
        <v>1144180763</v>
      </c>
      <c r="C108" t="s">
        <v>203</v>
      </c>
    </row>
    <row r="109" spans="1:3" x14ac:dyDescent="0.3">
      <c r="A109">
        <v>205</v>
      </c>
      <c r="B109">
        <v>52749230</v>
      </c>
      <c r="C109" t="s">
        <v>203</v>
      </c>
    </row>
    <row r="110" spans="1:3" x14ac:dyDescent="0.3">
      <c r="A110">
        <v>256</v>
      </c>
      <c r="B110">
        <v>1023363739</v>
      </c>
      <c r="C110" t="s">
        <v>203</v>
      </c>
    </row>
    <row r="111" spans="1:3" x14ac:dyDescent="0.3">
      <c r="A111">
        <v>276</v>
      </c>
      <c r="B111">
        <v>1073518031</v>
      </c>
      <c r="C111" t="s">
        <v>203</v>
      </c>
    </row>
    <row r="112" spans="1:3" x14ac:dyDescent="0.3">
      <c r="A112">
        <v>294</v>
      </c>
      <c r="B112">
        <v>1000349195</v>
      </c>
      <c r="C112" t="s">
        <v>203</v>
      </c>
    </row>
    <row r="113" spans="1:3" x14ac:dyDescent="0.3">
      <c r="A113">
        <v>298</v>
      </c>
      <c r="B113">
        <v>1061730328</v>
      </c>
      <c r="C113" t="s">
        <v>203</v>
      </c>
    </row>
    <row r="114" spans="1:3" x14ac:dyDescent="0.3">
      <c r="A114">
        <v>302</v>
      </c>
      <c r="B114">
        <v>1065879696</v>
      </c>
      <c r="C114" t="s">
        <v>203</v>
      </c>
    </row>
    <row r="115" spans="1:3" x14ac:dyDescent="0.3">
      <c r="A115">
        <v>306</v>
      </c>
      <c r="B115">
        <v>43168319</v>
      </c>
      <c r="C115" t="s">
        <v>203</v>
      </c>
    </row>
    <row r="116" spans="1:3" x14ac:dyDescent="0.3">
      <c r="A116">
        <v>308</v>
      </c>
      <c r="B116">
        <v>1091681176</v>
      </c>
      <c r="C116" t="s">
        <v>203</v>
      </c>
    </row>
    <row r="117" spans="1:3" x14ac:dyDescent="0.3">
      <c r="A117">
        <v>309</v>
      </c>
      <c r="B117">
        <v>1015403882</v>
      </c>
      <c r="C117" t="s">
        <v>203</v>
      </c>
    </row>
    <row r="118" spans="1:3" x14ac:dyDescent="0.3">
      <c r="A118">
        <v>314</v>
      </c>
      <c r="B118">
        <v>1018454212</v>
      </c>
      <c r="C118" t="s">
        <v>203</v>
      </c>
    </row>
    <row r="119" spans="1:3" x14ac:dyDescent="0.3">
      <c r="A119">
        <v>318</v>
      </c>
      <c r="B119">
        <v>52803624</v>
      </c>
      <c r="C119" t="s">
        <v>203</v>
      </c>
    </row>
    <row r="120" spans="1:3" x14ac:dyDescent="0.3">
      <c r="A120">
        <v>337</v>
      </c>
      <c r="B120">
        <v>63498664</v>
      </c>
      <c r="C120" t="s">
        <v>203</v>
      </c>
    </row>
    <row r="121" spans="1:3" x14ac:dyDescent="0.3">
      <c r="A121">
        <v>377</v>
      </c>
      <c r="B121">
        <v>1020423012</v>
      </c>
      <c r="C121" t="s">
        <v>203</v>
      </c>
    </row>
    <row r="122" spans="1:3" x14ac:dyDescent="0.3">
      <c r="A122">
        <v>382</v>
      </c>
      <c r="B122">
        <v>1065584151</v>
      </c>
      <c r="C122" t="s">
        <v>203</v>
      </c>
    </row>
    <row r="123" spans="1:3" x14ac:dyDescent="0.3">
      <c r="A123">
        <v>405</v>
      </c>
      <c r="B123">
        <v>1152690822</v>
      </c>
      <c r="C123" t="s">
        <v>203</v>
      </c>
    </row>
    <row r="124" spans="1:3" x14ac:dyDescent="0.3">
      <c r="A124">
        <v>413</v>
      </c>
      <c r="B124">
        <v>1049613835</v>
      </c>
      <c r="C124" t="s">
        <v>203</v>
      </c>
    </row>
    <row r="125" spans="1:3" x14ac:dyDescent="0.3">
      <c r="A125">
        <v>437</v>
      </c>
      <c r="B125">
        <v>52806937</v>
      </c>
      <c r="C125" t="s">
        <v>203</v>
      </c>
    </row>
    <row r="126" spans="1:3" x14ac:dyDescent="0.3">
      <c r="A126">
        <v>462</v>
      </c>
      <c r="B126">
        <v>1130586639</v>
      </c>
      <c r="C126" t="s">
        <v>203</v>
      </c>
    </row>
    <row r="127" spans="1:3" x14ac:dyDescent="0.3">
      <c r="A127">
        <v>499</v>
      </c>
      <c r="B127">
        <v>1087199711</v>
      </c>
      <c r="C127" t="s">
        <v>203</v>
      </c>
    </row>
    <row r="128" spans="1:3" x14ac:dyDescent="0.3">
      <c r="A128">
        <v>516</v>
      </c>
      <c r="B128">
        <v>51997916</v>
      </c>
      <c r="C128" t="s">
        <v>203</v>
      </c>
    </row>
    <row r="129" spans="1:3" x14ac:dyDescent="0.3">
      <c r="A129">
        <v>538</v>
      </c>
      <c r="B129">
        <v>1091391806</v>
      </c>
      <c r="C129" t="s">
        <v>203</v>
      </c>
    </row>
    <row r="130" spans="1:3" x14ac:dyDescent="0.3">
      <c r="A130">
        <v>597</v>
      </c>
      <c r="B130">
        <v>1061782966</v>
      </c>
      <c r="C130" t="s">
        <v>203</v>
      </c>
    </row>
    <row r="131" spans="1:3" x14ac:dyDescent="0.3">
      <c r="A131">
        <v>643</v>
      </c>
      <c r="B131">
        <v>51814618</v>
      </c>
      <c r="C131" t="s">
        <v>203</v>
      </c>
    </row>
    <row r="132" spans="1:3" x14ac:dyDescent="0.3">
      <c r="A132">
        <v>669</v>
      </c>
      <c r="B132">
        <v>52359944</v>
      </c>
      <c r="C132" t="s">
        <v>203</v>
      </c>
    </row>
    <row r="133" spans="1:3" x14ac:dyDescent="0.3">
      <c r="A133">
        <v>688</v>
      </c>
      <c r="B133">
        <v>24738673</v>
      </c>
      <c r="C133" t="s">
        <v>203</v>
      </c>
    </row>
    <row r="134" spans="1:3" x14ac:dyDescent="0.3">
      <c r="A134">
        <v>699</v>
      </c>
      <c r="B134">
        <v>1000757778</v>
      </c>
      <c r="C134" t="s">
        <v>203</v>
      </c>
    </row>
    <row r="135" spans="1:3" x14ac:dyDescent="0.3">
      <c r="A135">
        <v>700</v>
      </c>
      <c r="B135">
        <v>1013368330</v>
      </c>
      <c r="C135" t="s">
        <v>203</v>
      </c>
    </row>
    <row r="136" spans="1:3" x14ac:dyDescent="0.3">
      <c r="A136">
        <v>744</v>
      </c>
      <c r="B136">
        <v>37293409</v>
      </c>
      <c r="C136" t="s">
        <v>203</v>
      </c>
    </row>
    <row r="137" spans="1:3" x14ac:dyDescent="0.3">
      <c r="A137">
        <v>756</v>
      </c>
      <c r="B137">
        <v>43183720</v>
      </c>
      <c r="C137" t="s">
        <v>203</v>
      </c>
    </row>
    <row r="138" spans="1:3" x14ac:dyDescent="0.3">
      <c r="A138">
        <v>767</v>
      </c>
      <c r="B138">
        <v>1030630916</v>
      </c>
      <c r="C138" t="s">
        <v>203</v>
      </c>
    </row>
    <row r="139" spans="1:3" x14ac:dyDescent="0.3">
      <c r="A139">
        <v>780</v>
      </c>
      <c r="B139">
        <v>1067032171</v>
      </c>
      <c r="C139" t="s">
        <v>203</v>
      </c>
    </row>
    <row r="140" spans="1:3" x14ac:dyDescent="0.3">
      <c r="A140">
        <v>793</v>
      </c>
      <c r="B140">
        <v>40403858</v>
      </c>
      <c r="C140" t="s">
        <v>203</v>
      </c>
    </row>
    <row r="141" spans="1:3" x14ac:dyDescent="0.3">
      <c r="A141">
        <v>798</v>
      </c>
      <c r="B141">
        <v>1104774472</v>
      </c>
      <c r="C141" t="s">
        <v>203</v>
      </c>
    </row>
    <row r="142" spans="1:3" x14ac:dyDescent="0.3">
      <c r="A142">
        <v>808</v>
      </c>
      <c r="B142">
        <v>1007297219</v>
      </c>
      <c r="C142" t="s">
        <v>203</v>
      </c>
    </row>
    <row r="143" spans="1:3" x14ac:dyDescent="0.3">
      <c r="A143">
        <v>811</v>
      </c>
      <c r="B143">
        <v>30690735</v>
      </c>
      <c r="C143" t="s">
        <v>203</v>
      </c>
    </row>
    <row r="144" spans="1:3" x14ac:dyDescent="0.3">
      <c r="A144">
        <v>823</v>
      </c>
      <c r="B144">
        <v>52919344</v>
      </c>
      <c r="C144" t="s">
        <v>203</v>
      </c>
    </row>
    <row r="145" spans="1:3" x14ac:dyDescent="0.3">
      <c r="A145">
        <v>843</v>
      </c>
      <c r="B145">
        <v>1036638608</v>
      </c>
      <c r="C145" t="s">
        <v>203</v>
      </c>
    </row>
    <row r="146" spans="1:3" x14ac:dyDescent="0.3">
      <c r="A146">
        <v>887</v>
      </c>
      <c r="B146">
        <v>36306814</v>
      </c>
      <c r="C146" t="s">
        <v>203</v>
      </c>
    </row>
    <row r="147" spans="1:3" x14ac:dyDescent="0.3">
      <c r="A147">
        <v>908</v>
      </c>
      <c r="B147">
        <v>1024514154</v>
      </c>
      <c r="C147" t="s">
        <v>203</v>
      </c>
    </row>
    <row r="148" spans="1:3" x14ac:dyDescent="0.3">
      <c r="A148">
        <v>923</v>
      </c>
      <c r="B148">
        <v>1098721765</v>
      </c>
      <c r="C148" t="s">
        <v>203</v>
      </c>
    </row>
    <row r="149" spans="1:3" x14ac:dyDescent="0.3">
      <c r="A149">
        <v>925</v>
      </c>
      <c r="B149">
        <v>1013670305</v>
      </c>
      <c r="C149" t="s">
        <v>203</v>
      </c>
    </row>
    <row r="150" spans="1:3" x14ac:dyDescent="0.3">
      <c r="A150">
        <v>945</v>
      </c>
      <c r="B150">
        <v>1216715488</v>
      </c>
      <c r="C150" t="s">
        <v>203</v>
      </c>
    </row>
    <row r="151" spans="1:3" x14ac:dyDescent="0.3">
      <c r="A151">
        <v>954</v>
      </c>
      <c r="B151">
        <v>52229629</v>
      </c>
      <c r="C151" t="s">
        <v>203</v>
      </c>
    </row>
    <row r="152" spans="1:3" x14ac:dyDescent="0.3">
      <c r="A152">
        <v>966</v>
      </c>
      <c r="B152">
        <v>1113662437</v>
      </c>
      <c r="C152" t="s">
        <v>203</v>
      </c>
    </row>
    <row r="153" spans="1:3" x14ac:dyDescent="0.3">
      <c r="A153">
        <v>970</v>
      </c>
      <c r="B153">
        <v>1020795135</v>
      </c>
      <c r="C153" t="s">
        <v>203</v>
      </c>
    </row>
    <row r="154" spans="1:3" x14ac:dyDescent="0.3">
      <c r="A154">
        <v>992</v>
      </c>
      <c r="B154">
        <v>1005235255</v>
      </c>
      <c r="C154" t="s">
        <v>203</v>
      </c>
    </row>
    <row r="155" spans="1:3" x14ac:dyDescent="0.3">
      <c r="A155">
        <v>1056</v>
      </c>
      <c r="B155">
        <v>1111807726</v>
      </c>
      <c r="C155" t="s">
        <v>203</v>
      </c>
    </row>
    <row r="156" spans="1:3" x14ac:dyDescent="0.3">
      <c r="A156">
        <v>1064</v>
      </c>
      <c r="B156">
        <v>1023908335</v>
      </c>
      <c r="C156" t="s">
        <v>203</v>
      </c>
    </row>
    <row r="157" spans="1:3" x14ac:dyDescent="0.3">
      <c r="A157">
        <v>1083</v>
      </c>
      <c r="B157">
        <v>24139084</v>
      </c>
      <c r="C157" t="s">
        <v>203</v>
      </c>
    </row>
    <row r="158" spans="1:3" x14ac:dyDescent="0.3">
      <c r="A158">
        <v>1095</v>
      </c>
      <c r="B158">
        <v>1012434941</v>
      </c>
      <c r="C158" t="s">
        <v>203</v>
      </c>
    </row>
    <row r="159" spans="1:3" x14ac:dyDescent="0.3">
      <c r="A159">
        <v>1108</v>
      </c>
      <c r="B159">
        <v>1015410614</v>
      </c>
      <c r="C159" t="s">
        <v>203</v>
      </c>
    </row>
    <row r="160" spans="1:3" x14ac:dyDescent="0.3">
      <c r="A160">
        <v>1109</v>
      </c>
      <c r="B160">
        <v>52169034</v>
      </c>
      <c r="C160" t="s">
        <v>203</v>
      </c>
    </row>
    <row r="161" spans="1:3" x14ac:dyDescent="0.3">
      <c r="A161">
        <v>3</v>
      </c>
      <c r="B161">
        <v>39425865</v>
      </c>
      <c r="C161" t="s">
        <v>203</v>
      </c>
    </row>
    <row r="162" spans="1:3" x14ac:dyDescent="0.3">
      <c r="A162">
        <v>5</v>
      </c>
      <c r="B162">
        <v>30745629</v>
      </c>
      <c r="C162" t="s">
        <v>203</v>
      </c>
    </row>
    <row r="163" spans="1:3" x14ac:dyDescent="0.3">
      <c r="A163">
        <v>37</v>
      </c>
      <c r="B163">
        <v>1019772714</v>
      </c>
      <c r="C163" t="s">
        <v>203</v>
      </c>
    </row>
    <row r="164" spans="1:3" ht="28.8" x14ac:dyDescent="0.3">
      <c r="A164">
        <v>43</v>
      </c>
      <c r="B164" s="1" t="s">
        <v>205</v>
      </c>
      <c r="C164" t="s">
        <v>203</v>
      </c>
    </row>
    <row r="165" spans="1:3" x14ac:dyDescent="0.3">
      <c r="A165">
        <v>47</v>
      </c>
      <c r="B165">
        <v>1020768455</v>
      </c>
      <c r="C165" t="s">
        <v>203</v>
      </c>
    </row>
    <row r="166" spans="1:3" x14ac:dyDescent="0.3">
      <c r="A166">
        <v>48</v>
      </c>
      <c r="B166">
        <v>52585853</v>
      </c>
      <c r="C166" t="s">
        <v>203</v>
      </c>
    </row>
    <row r="167" spans="1:3" x14ac:dyDescent="0.3">
      <c r="A167">
        <v>65</v>
      </c>
      <c r="B167">
        <v>110495564</v>
      </c>
      <c r="C167" t="s">
        <v>203</v>
      </c>
    </row>
    <row r="168" spans="1:3" x14ac:dyDescent="0.3">
      <c r="A168">
        <v>74</v>
      </c>
      <c r="B168">
        <v>1076500548</v>
      </c>
      <c r="C168" t="s">
        <v>203</v>
      </c>
    </row>
    <row r="169" spans="1:3" x14ac:dyDescent="0.3">
      <c r="A169">
        <v>91</v>
      </c>
      <c r="B169">
        <v>1023871809</v>
      </c>
      <c r="C169" t="s">
        <v>203</v>
      </c>
    </row>
    <row r="170" spans="1:3" x14ac:dyDescent="0.3">
      <c r="A170">
        <v>98</v>
      </c>
      <c r="B170">
        <v>1016009922</v>
      </c>
      <c r="C170" t="s">
        <v>203</v>
      </c>
    </row>
    <row r="171" spans="1:3" x14ac:dyDescent="0.3">
      <c r="A171">
        <v>103</v>
      </c>
      <c r="B171">
        <v>1085287372</v>
      </c>
      <c r="C171" t="s">
        <v>203</v>
      </c>
    </row>
    <row r="172" spans="1:3" x14ac:dyDescent="0.3">
      <c r="A172">
        <v>114</v>
      </c>
      <c r="B172">
        <v>1007270818</v>
      </c>
      <c r="C172" t="s">
        <v>203</v>
      </c>
    </row>
    <row r="173" spans="1:3" x14ac:dyDescent="0.3">
      <c r="A173">
        <v>121</v>
      </c>
      <c r="B173">
        <v>10451729</v>
      </c>
      <c r="C173" t="s">
        <v>203</v>
      </c>
    </row>
    <row r="174" spans="1:3" x14ac:dyDescent="0.3">
      <c r="A174">
        <v>179</v>
      </c>
      <c r="B174">
        <v>1065620663</v>
      </c>
      <c r="C174" t="s">
        <v>203</v>
      </c>
    </row>
    <row r="175" spans="1:3" x14ac:dyDescent="0.3">
      <c r="A175">
        <v>189</v>
      </c>
      <c r="B175">
        <v>1002942186</v>
      </c>
      <c r="C175" t="s">
        <v>203</v>
      </c>
    </row>
    <row r="176" spans="1:3" x14ac:dyDescent="0.3">
      <c r="A176">
        <v>192</v>
      </c>
      <c r="B176">
        <v>1109005510</v>
      </c>
      <c r="C176" t="s">
        <v>203</v>
      </c>
    </row>
    <row r="177" spans="1:3" x14ac:dyDescent="0.3">
      <c r="A177">
        <v>216</v>
      </c>
      <c r="B177">
        <v>1023874974</v>
      </c>
      <c r="C177" t="s">
        <v>203</v>
      </c>
    </row>
    <row r="178" spans="1:3" x14ac:dyDescent="0.3">
      <c r="A178">
        <v>219</v>
      </c>
      <c r="B178">
        <v>1057597800</v>
      </c>
      <c r="C178" t="s">
        <v>203</v>
      </c>
    </row>
    <row r="179" spans="1:3" x14ac:dyDescent="0.3">
      <c r="A179">
        <v>221</v>
      </c>
      <c r="B179">
        <v>63550683</v>
      </c>
      <c r="C179" t="s">
        <v>203</v>
      </c>
    </row>
    <row r="180" spans="1:3" x14ac:dyDescent="0.3">
      <c r="A180">
        <v>247</v>
      </c>
      <c r="B180">
        <v>53422240</v>
      </c>
      <c r="C180" t="s">
        <v>203</v>
      </c>
    </row>
    <row r="181" spans="1:3" x14ac:dyDescent="0.3">
      <c r="A181">
        <v>249</v>
      </c>
      <c r="B181">
        <v>1014297648</v>
      </c>
      <c r="C181" t="s">
        <v>203</v>
      </c>
    </row>
    <row r="182" spans="1:3" x14ac:dyDescent="0.3">
      <c r="A182">
        <v>264</v>
      </c>
      <c r="B182">
        <v>22785838</v>
      </c>
      <c r="C182" t="s">
        <v>203</v>
      </c>
    </row>
    <row r="183" spans="1:3" x14ac:dyDescent="0.3">
      <c r="A183">
        <v>266</v>
      </c>
      <c r="B183">
        <v>52850143</v>
      </c>
      <c r="C183" t="s">
        <v>203</v>
      </c>
    </row>
    <row r="184" spans="1:3" x14ac:dyDescent="0.3">
      <c r="A184">
        <v>269</v>
      </c>
      <c r="B184">
        <v>276863547</v>
      </c>
      <c r="C184" t="s">
        <v>203</v>
      </c>
    </row>
    <row r="185" spans="1:3" x14ac:dyDescent="0.3">
      <c r="A185">
        <v>281</v>
      </c>
      <c r="B185">
        <v>43449705</v>
      </c>
      <c r="C185" t="s">
        <v>203</v>
      </c>
    </row>
    <row r="186" spans="1:3" x14ac:dyDescent="0.3">
      <c r="A186">
        <v>283</v>
      </c>
      <c r="B186">
        <v>1121865711</v>
      </c>
      <c r="C186" t="s">
        <v>203</v>
      </c>
    </row>
    <row r="187" spans="1:3" x14ac:dyDescent="0.3">
      <c r="A187">
        <v>291</v>
      </c>
      <c r="B187">
        <v>1031182543</v>
      </c>
      <c r="C187" t="s">
        <v>203</v>
      </c>
    </row>
    <row r="188" spans="1:3" x14ac:dyDescent="0.3">
      <c r="A188">
        <v>325</v>
      </c>
      <c r="B188">
        <v>1047442752</v>
      </c>
      <c r="C188" t="s">
        <v>203</v>
      </c>
    </row>
    <row r="189" spans="1:3" x14ac:dyDescent="0.3">
      <c r="A189">
        <v>328</v>
      </c>
      <c r="B189">
        <v>1130660752</v>
      </c>
      <c r="C189" t="s">
        <v>203</v>
      </c>
    </row>
    <row r="190" spans="1:3" x14ac:dyDescent="0.3">
      <c r="A190">
        <v>346</v>
      </c>
      <c r="B190">
        <v>1085296581</v>
      </c>
      <c r="C190" t="s">
        <v>203</v>
      </c>
    </row>
    <row r="191" spans="1:3" x14ac:dyDescent="0.3">
      <c r="A191">
        <v>351</v>
      </c>
      <c r="B191">
        <v>1071164887</v>
      </c>
      <c r="C191" t="s">
        <v>203</v>
      </c>
    </row>
    <row r="192" spans="1:3" x14ac:dyDescent="0.3">
      <c r="A192">
        <v>356</v>
      </c>
      <c r="B192">
        <v>6022046</v>
      </c>
      <c r="C192" t="s">
        <v>203</v>
      </c>
    </row>
    <row r="193" spans="1:3" x14ac:dyDescent="0.3">
      <c r="A193">
        <v>362</v>
      </c>
      <c r="B193">
        <v>67018873</v>
      </c>
      <c r="C193" t="s">
        <v>203</v>
      </c>
    </row>
    <row r="194" spans="1:3" x14ac:dyDescent="0.3">
      <c r="A194">
        <v>369</v>
      </c>
      <c r="B194">
        <v>63511470</v>
      </c>
      <c r="C194" t="s">
        <v>203</v>
      </c>
    </row>
    <row r="195" spans="1:3" x14ac:dyDescent="0.3">
      <c r="A195">
        <v>384</v>
      </c>
      <c r="B195">
        <v>28211832</v>
      </c>
      <c r="C195" t="s">
        <v>203</v>
      </c>
    </row>
    <row r="196" spans="1:3" x14ac:dyDescent="0.3">
      <c r="A196">
        <v>404</v>
      </c>
      <c r="B196">
        <v>35478346</v>
      </c>
      <c r="C196" t="s">
        <v>203</v>
      </c>
    </row>
    <row r="197" spans="1:3" x14ac:dyDescent="0.3">
      <c r="A197">
        <v>407</v>
      </c>
      <c r="B197">
        <v>1036608841</v>
      </c>
      <c r="C197" t="s">
        <v>203</v>
      </c>
    </row>
    <row r="198" spans="1:3" x14ac:dyDescent="0.3">
      <c r="A198">
        <v>438</v>
      </c>
      <c r="B198">
        <v>1070956788</v>
      </c>
      <c r="C198" t="s">
        <v>203</v>
      </c>
    </row>
    <row r="199" spans="1:3" x14ac:dyDescent="0.3">
      <c r="A199">
        <v>472</v>
      </c>
      <c r="B199">
        <v>1005372044</v>
      </c>
      <c r="C199" t="s">
        <v>203</v>
      </c>
    </row>
    <row r="200" spans="1:3" x14ac:dyDescent="0.3">
      <c r="A200">
        <v>480</v>
      </c>
      <c r="B200">
        <v>1110585910</v>
      </c>
      <c r="C200" t="s">
        <v>203</v>
      </c>
    </row>
    <row r="201" spans="1:3" x14ac:dyDescent="0.3">
      <c r="A201">
        <v>487</v>
      </c>
      <c r="B201">
        <v>1110541198</v>
      </c>
      <c r="C201" t="s">
        <v>203</v>
      </c>
    </row>
    <row r="202" spans="1:3" x14ac:dyDescent="0.3">
      <c r="A202">
        <v>490</v>
      </c>
      <c r="B202">
        <v>1012437780</v>
      </c>
      <c r="C202" t="s">
        <v>203</v>
      </c>
    </row>
    <row r="203" spans="1:3" x14ac:dyDescent="0.3">
      <c r="A203">
        <v>491</v>
      </c>
      <c r="B203">
        <v>1091666108</v>
      </c>
      <c r="C203" t="s">
        <v>203</v>
      </c>
    </row>
    <row r="204" spans="1:3" x14ac:dyDescent="0.3">
      <c r="A204">
        <v>498</v>
      </c>
      <c r="B204">
        <v>1061794261</v>
      </c>
      <c r="C204" t="s">
        <v>203</v>
      </c>
    </row>
    <row r="205" spans="1:3" x14ac:dyDescent="0.3">
      <c r="A205">
        <v>549</v>
      </c>
      <c r="B205">
        <v>1030650779</v>
      </c>
      <c r="C205" t="s">
        <v>203</v>
      </c>
    </row>
    <row r="206" spans="1:3" x14ac:dyDescent="0.3">
      <c r="A206">
        <v>566</v>
      </c>
      <c r="B206">
        <v>39676193</v>
      </c>
      <c r="C206" t="s">
        <v>203</v>
      </c>
    </row>
    <row r="207" spans="1:3" x14ac:dyDescent="0.3">
      <c r="A207">
        <v>588</v>
      </c>
      <c r="B207">
        <v>52362761</v>
      </c>
      <c r="C207" t="s">
        <v>203</v>
      </c>
    </row>
    <row r="208" spans="1:3" x14ac:dyDescent="0.3">
      <c r="A208">
        <v>602</v>
      </c>
      <c r="B208">
        <v>1020763185</v>
      </c>
      <c r="C208" t="s">
        <v>203</v>
      </c>
    </row>
    <row r="209" spans="1:3" x14ac:dyDescent="0.3">
      <c r="A209">
        <v>604</v>
      </c>
      <c r="B209">
        <v>1017222716</v>
      </c>
      <c r="C209" t="s">
        <v>203</v>
      </c>
    </row>
    <row r="210" spans="1:3" x14ac:dyDescent="0.3">
      <c r="A210">
        <v>606</v>
      </c>
      <c r="B210">
        <v>1010209620</v>
      </c>
      <c r="C210" t="s">
        <v>203</v>
      </c>
    </row>
    <row r="211" spans="1:3" x14ac:dyDescent="0.3">
      <c r="A211">
        <v>616</v>
      </c>
      <c r="B211">
        <v>52543200</v>
      </c>
      <c r="C211" t="s">
        <v>203</v>
      </c>
    </row>
    <row r="212" spans="1:3" x14ac:dyDescent="0.3">
      <c r="A212">
        <v>631</v>
      </c>
      <c r="B212">
        <v>1000852032</v>
      </c>
      <c r="C212" t="s">
        <v>203</v>
      </c>
    </row>
    <row r="213" spans="1:3" x14ac:dyDescent="0.3">
      <c r="A213">
        <v>639</v>
      </c>
      <c r="B213">
        <v>1019085421</v>
      </c>
      <c r="C213" t="s">
        <v>203</v>
      </c>
    </row>
    <row r="214" spans="1:3" x14ac:dyDescent="0.3">
      <c r="A214">
        <v>647</v>
      </c>
      <c r="B214">
        <v>1006363237</v>
      </c>
      <c r="C214" t="s">
        <v>203</v>
      </c>
    </row>
    <row r="215" spans="1:3" x14ac:dyDescent="0.3">
      <c r="A215">
        <v>662</v>
      </c>
      <c r="B215">
        <v>22565272</v>
      </c>
      <c r="C215" t="s">
        <v>203</v>
      </c>
    </row>
    <row r="216" spans="1:3" x14ac:dyDescent="0.3">
      <c r="A216">
        <v>689</v>
      </c>
      <c r="B216">
        <v>1017273584</v>
      </c>
      <c r="C216" t="s">
        <v>203</v>
      </c>
    </row>
    <row r="217" spans="1:3" x14ac:dyDescent="0.3">
      <c r="A217">
        <v>690</v>
      </c>
      <c r="B217">
        <v>1006890675</v>
      </c>
      <c r="C217" t="s">
        <v>203</v>
      </c>
    </row>
    <row r="218" spans="1:3" x14ac:dyDescent="0.3">
      <c r="A218">
        <v>704</v>
      </c>
      <c r="B218">
        <v>1071349390</v>
      </c>
      <c r="C218" t="s">
        <v>203</v>
      </c>
    </row>
    <row r="219" spans="1:3" x14ac:dyDescent="0.3">
      <c r="A219">
        <v>720</v>
      </c>
      <c r="B219">
        <v>1020788559</v>
      </c>
      <c r="C219" t="s">
        <v>203</v>
      </c>
    </row>
    <row r="220" spans="1:3" x14ac:dyDescent="0.3">
      <c r="A220">
        <v>732</v>
      </c>
      <c r="B220">
        <v>1110498567</v>
      </c>
      <c r="C220" t="s">
        <v>203</v>
      </c>
    </row>
    <row r="221" spans="1:3" x14ac:dyDescent="0.3">
      <c r="A221">
        <v>734</v>
      </c>
      <c r="B221">
        <v>39712530</v>
      </c>
      <c r="C221" t="s">
        <v>203</v>
      </c>
    </row>
    <row r="222" spans="1:3" x14ac:dyDescent="0.3">
      <c r="A222">
        <v>758</v>
      </c>
      <c r="B222">
        <v>1152469107</v>
      </c>
      <c r="C222" t="s">
        <v>203</v>
      </c>
    </row>
    <row r="223" spans="1:3" x14ac:dyDescent="0.3">
      <c r="A223">
        <v>763</v>
      </c>
      <c r="B223">
        <v>1003698360</v>
      </c>
      <c r="C223" t="s">
        <v>203</v>
      </c>
    </row>
    <row r="224" spans="1:3" x14ac:dyDescent="0.3">
      <c r="A224">
        <v>790</v>
      </c>
      <c r="B224">
        <v>20927084</v>
      </c>
      <c r="C224" t="s">
        <v>203</v>
      </c>
    </row>
    <row r="225" spans="1:3" x14ac:dyDescent="0.3">
      <c r="A225">
        <v>804</v>
      </c>
      <c r="B225">
        <v>1002257441</v>
      </c>
      <c r="C225" t="s">
        <v>203</v>
      </c>
    </row>
    <row r="226" spans="1:3" x14ac:dyDescent="0.3">
      <c r="A226">
        <v>816</v>
      </c>
      <c r="B226">
        <v>1005024611</v>
      </c>
      <c r="C226" t="s">
        <v>203</v>
      </c>
    </row>
    <row r="227" spans="1:3" x14ac:dyDescent="0.3">
      <c r="A227">
        <v>885</v>
      </c>
      <c r="B227">
        <v>1032424222</v>
      </c>
      <c r="C227" t="s">
        <v>203</v>
      </c>
    </row>
    <row r="228" spans="1:3" x14ac:dyDescent="0.3">
      <c r="A228">
        <v>910</v>
      </c>
      <c r="B228">
        <v>53014481</v>
      </c>
      <c r="C228" t="s">
        <v>203</v>
      </c>
    </row>
    <row r="229" spans="1:3" x14ac:dyDescent="0.3">
      <c r="A229">
        <v>914</v>
      </c>
      <c r="B229">
        <v>1005182423</v>
      </c>
      <c r="C229" t="s">
        <v>203</v>
      </c>
    </row>
    <row r="230" spans="1:3" x14ac:dyDescent="0.3">
      <c r="A230">
        <v>949</v>
      </c>
      <c r="B230">
        <v>51774846</v>
      </c>
      <c r="C230" t="s">
        <v>203</v>
      </c>
    </row>
    <row r="231" spans="1:3" x14ac:dyDescent="0.3">
      <c r="A231">
        <v>951</v>
      </c>
      <c r="B231">
        <v>1039474017</v>
      </c>
      <c r="C231" t="s">
        <v>203</v>
      </c>
    </row>
    <row r="232" spans="1:3" x14ac:dyDescent="0.3">
      <c r="A232">
        <v>955</v>
      </c>
      <c r="B232">
        <v>1001344288</v>
      </c>
      <c r="C232" t="s">
        <v>203</v>
      </c>
    </row>
    <row r="233" spans="1:3" x14ac:dyDescent="0.3">
      <c r="A233">
        <v>961</v>
      </c>
      <c r="B233">
        <v>1152196405</v>
      </c>
      <c r="C233" t="s">
        <v>203</v>
      </c>
    </row>
    <row r="234" spans="1:3" x14ac:dyDescent="0.3">
      <c r="A234">
        <v>962</v>
      </c>
      <c r="B234">
        <v>34675418</v>
      </c>
      <c r="C234" t="s">
        <v>203</v>
      </c>
    </row>
    <row r="235" spans="1:3" x14ac:dyDescent="0.3">
      <c r="A235">
        <v>968</v>
      </c>
      <c r="B235">
        <v>1012444341</v>
      </c>
      <c r="C235" t="s">
        <v>203</v>
      </c>
    </row>
    <row r="236" spans="1:3" x14ac:dyDescent="0.3">
      <c r="A236">
        <v>985</v>
      </c>
      <c r="B236">
        <v>32104607</v>
      </c>
      <c r="C236" t="s">
        <v>203</v>
      </c>
    </row>
    <row r="237" spans="1:3" x14ac:dyDescent="0.3">
      <c r="A237">
        <v>986</v>
      </c>
      <c r="B237">
        <v>1020845712</v>
      </c>
      <c r="C237" t="s">
        <v>203</v>
      </c>
    </row>
    <row r="238" spans="1:3" x14ac:dyDescent="0.3">
      <c r="A238">
        <v>991</v>
      </c>
      <c r="B238">
        <v>52961583</v>
      </c>
      <c r="C238" t="s">
        <v>203</v>
      </c>
    </row>
    <row r="239" spans="1:3" x14ac:dyDescent="0.3">
      <c r="A239">
        <v>1005</v>
      </c>
      <c r="B239">
        <v>1090500766</v>
      </c>
      <c r="C239" t="s">
        <v>203</v>
      </c>
    </row>
    <row r="240" spans="1:3" x14ac:dyDescent="0.3">
      <c r="A240">
        <v>1018</v>
      </c>
      <c r="B240">
        <v>1098748587</v>
      </c>
      <c r="C240" t="s">
        <v>203</v>
      </c>
    </row>
    <row r="241" spans="1:3" x14ac:dyDescent="0.3">
      <c r="A241">
        <v>1035</v>
      </c>
      <c r="B241">
        <v>1128437382</v>
      </c>
      <c r="C241" t="s">
        <v>203</v>
      </c>
    </row>
    <row r="242" spans="1:3" x14ac:dyDescent="0.3">
      <c r="A242">
        <v>1096</v>
      </c>
      <c r="B242">
        <v>1014263817</v>
      </c>
      <c r="C242" t="s">
        <v>203</v>
      </c>
    </row>
    <row r="243" spans="1:3" x14ac:dyDescent="0.3">
      <c r="A243">
        <v>1102</v>
      </c>
      <c r="B243">
        <v>1031168027</v>
      </c>
      <c r="C243" t="s">
        <v>203</v>
      </c>
    </row>
    <row r="244" spans="1:3" x14ac:dyDescent="0.3">
      <c r="A244">
        <v>1113</v>
      </c>
      <c r="B244">
        <v>1015449764</v>
      </c>
      <c r="C244" t="s">
        <v>203</v>
      </c>
    </row>
    <row r="245" spans="1:3" x14ac:dyDescent="0.3">
      <c r="A245">
        <v>1117</v>
      </c>
      <c r="B245">
        <v>1019101620</v>
      </c>
      <c r="C245" t="s">
        <v>203</v>
      </c>
    </row>
    <row r="246" spans="1:3" x14ac:dyDescent="0.3">
      <c r="A246">
        <v>1122</v>
      </c>
      <c r="B246">
        <v>1004844476</v>
      </c>
      <c r="C246" t="s">
        <v>203</v>
      </c>
    </row>
    <row r="247" spans="1:3" x14ac:dyDescent="0.3">
      <c r="A247">
        <v>1125</v>
      </c>
      <c r="B247">
        <v>1095912550</v>
      </c>
      <c r="C247" t="s">
        <v>203</v>
      </c>
    </row>
    <row r="248" spans="1:3" x14ac:dyDescent="0.3">
      <c r="A248">
        <v>46</v>
      </c>
      <c r="B248">
        <v>1090364250</v>
      </c>
      <c r="C248" t="s">
        <v>203</v>
      </c>
    </row>
    <row r="249" spans="1:3" x14ac:dyDescent="0.3">
      <c r="A249">
        <v>77</v>
      </c>
      <c r="B249">
        <v>55231068</v>
      </c>
      <c r="C249" t="s">
        <v>203</v>
      </c>
    </row>
    <row r="250" spans="1:3" x14ac:dyDescent="0.3">
      <c r="A250">
        <v>88</v>
      </c>
      <c r="B250">
        <v>59833881</v>
      </c>
      <c r="C250" t="s">
        <v>203</v>
      </c>
    </row>
    <row r="251" spans="1:3" x14ac:dyDescent="0.3">
      <c r="A251">
        <v>105</v>
      </c>
      <c r="B251">
        <v>53910330</v>
      </c>
      <c r="C251" t="s">
        <v>203</v>
      </c>
    </row>
    <row r="252" spans="1:3" x14ac:dyDescent="0.3">
      <c r="A252">
        <v>170</v>
      </c>
      <c r="B252">
        <v>1114823080</v>
      </c>
      <c r="C252" t="s">
        <v>203</v>
      </c>
    </row>
    <row r="253" spans="1:3" x14ac:dyDescent="0.3">
      <c r="A253">
        <v>186</v>
      </c>
      <c r="B253">
        <v>1022934732</v>
      </c>
      <c r="C253" t="s">
        <v>203</v>
      </c>
    </row>
    <row r="254" spans="1:3" x14ac:dyDescent="0.3">
      <c r="A254">
        <v>193</v>
      </c>
      <c r="B254">
        <v>1010003961</v>
      </c>
      <c r="C254" t="s">
        <v>203</v>
      </c>
    </row>
    <row r="255" spans="1:3" x14ac:dyDescent="0.3">
      <c r="A255">
        <v>228</v>
      </c>
      <c r="B255">
        <v>1070963370</v>
      </c>
      <c r="C255" t="s">
        <v>203</v>
      </c>
    </row>
    <row r="256" spans="1:3" x14ac:dyDescent="0.3">
      <c r="A256">
        <v>252</v>
      </c>
      <c r="B256">
        <v>1118553233</v>
      </c>
      <c r="C256" t="s">
        <v>203</v>
      </c>
    </row>
    <row r="257" spans="1:3" x14ac:dyDescent="0.3">
      <c r="A257">
        <v>254</v>
      </c>
      <c r="B257">
        <v>43869063</v>
      </c>
      <c r="C257" t="s">
        <v>203</v>
      </c>
    </row>
    <row r="258" spans="1:3" x14ac:dyDescent="0.3">
      <c r="A258">
        <v>290</v>
      </c>
      <c r="B258">
        <v>33208932</v>
      </c>
      <c r="C258" t="s">
        <v>203</v>
      </c>
    </row>
    <row r="259" spans="1:3" x14ac:dyDescent="0.3">
      <c r="A259">
        <v>312</v>
      </c>
      <c r="B259">
        <v>1107067485</v>
      </c>
      <c r="C259" t="s">
        <v>203</v>
      </c>
    </row>
    <row r="260" spans="1:3" x14ac:dyDescent="0.3">
      <c r="A260">
        <v>340</v>
      </c>
      <c r="B260">
        <v>1106362398</v>
      </c>
      <c r="C260" t="s">
        <v>203</v>
      </c>
    </row>
    <row r="261" spans="1:3" x14ac:dyDescent="0.3">
      <c r="A261">
        <v>341</v>
      </c>
      <c r="B261">
        <v>1143141744</v>
      </c>
      <c r="C261" t="s">
        <v>203</v>
      </c>
    </row>
    <row r="262" spans="1:3" x14ac:dyDescent="0.3">
      <c r="A262">
        <v>347</v>
      </c>
      <c r="B262">
        <v>1085265138</v>
      </c>
      <c r="C262" t="s">
        <v>203</v>
      </c>
    </row>
    <row r="263" spans="1:3" x14ac:dyDescent="0.3">
      <c r="A263">
        <v>370</v>
      </c>
      <c r="B263">
        <v>1032798259</v>
      </c>
      <c r="C263" t="s">
        <v>203</v>
      </c>
    </row>
    <row r="264" spans="1:3" x14ac:dyDescent="0.3">
      <c r="A264">
        <v>415</v>
      </c>
      <c r="B264">
        <v>1105671525</v>
      </c>
      <c r="C264" t="s">
        <v>203</v>
      </c>
    </row>
    <row r="265" spans="1:3" x14ac:dyDescent="0.3">
      <c r="A265">
        <v>416</v>
      </c>
      <c r="B265">
        <v>1073670883</v>
      </c>
      <c r="C265" t="s">
        <v>203</v>
      </c>
    </row>
    <row r="266" spans="1:3" x14ac:dyDescent="0.3">
      <c r="A266">
        <v>468</v>
      </c>
      <c r="B266">
        <v>28687707</v>
      </c>
      <c r="C266" t="s">
        <v>203</v>
      </c>
    </row>
    <row r="267" spans="1:3" x14ac:dyDescent="0.3">
      <c r="A267">
        <v>475</v>
      </c>
      <c r="B267">
        <v>1128390246</v>
      </c>
      <c r="C267" t="s">
        <v>203</v>
      </c>
    </row>
    <row r="268" spans="1:3" x14ac:dyDescent="0.3">
      <c r="A268">
        <v>476</v>
      </c>
      <c r="B268">
        <v>1102354256</v>
      </c>
      <c r="C268" t="s">
        <v>203</v>
      </c>
    </row>
    <row r="269" spans="1:3" x14ac:dyDescent="0.3">
      <c r="A269">
        <v>489</v>
      </c>
      <c r="B269">
        <v>43222317</v>
      </c>
      <c r="C269" t="s">
        <v>203</v>
      </c>
    </row>
    <row r="270" spans="1:3" x14ac:dyDescent="0.3">
      <c r="A270">
        <v>494</v>
      </c>
      <c r="B270">
        <v>1023025403</v>
      </c>
      <c r="C270" t="s">
        <v>203</v>
      </c>
    </row>
    <row r="271" spans="1:3" ht="28.8" x14ac:dyDescent="0.3">
      <c r="A271">
        <v>509</v>
      </c>
      <c r="B271" s="1" t="s">
        <v>206</v>
      </c>
      <c r="C271" t="s">
        <v>203</v>
      </c>
    </row>
    <row r="272" spans="1:3" x14ac:dyDescent="0.3">
      <c r="A272">
        <v>510</v>
      </c>
      <c r="B272">
        <v>31168077</v>
      </c>
      <c r="C272" t="s">
        <v>203</v>
      </c>
    </row>
    <row r="273" spans="1:3" x14ac:dyDescent="0.3">
      <c r="A273">
        <v>512</v>
      </c>
      <c r="B273">
        <v>52498777</v>
      </c>
      <c r="C273" t="s">
        <v>203</v>
      </c>
    </row>
    <row r="274" spans="1:3" x14ac:dyDescent="0.3">
      <c r="A274">
        <v>520</v>
      </c>
      <c r="B274">
        <v>1000218497</v>
      </c>
      <c r="C274" t="s">
        <v>203</v>
      </c>
    </row>
    <row r="275" spans="1:3" x14ac:dyDescent="0.3">
      <c r="A275">
        <v>528</v>
      </c>
      <c r="B275">
        <v>1053324037</v>
      </c>
      <c r="C275" t="s">
        <v>203</v>
      </c>
    </row>
    <row r="276" spans="1:3" x14ac:dyDescent="0.3">
      <c r="A276">
        <v>540</v>
      </c>
      <c r="B276">
        <v>1000692362</v>
      </c>
      <c r="C276" t="s">
        <v>203</v>
      </c>
    </row>
    <row r="277" spans="1:3" x14ac:dyDescent="0.3">
      <c r="A277">
        <v>563</v>
      </c>
      <c r="B277">
        <v>1022356548</v>
      </c>
      <c r="C277" t="s">
        <v>203</v>
      </c>
    </row>
    <row r="278" spans="1:3" x14ac:dyDescent="0.3">
      <c r="A278">
        <v>570</v>
      </c>
      <c r="B278">
        <v>1048404049</v>
      </c>
      <c r="C278" t="s">
        <v>203</v>
      </c>
    </row>
    <row r="279" spans="1:3" x14ac:dyDescent="0.3">
      <c r="A279">
        <v>579</v>
      </c>
      <c r="B279">
        <v>1007473804</v>
      </c>
      <c r="C279" t="s">
        <v>203</v>
      </c>
    </row>
    <row r="280" spans="1:3" x14ac:dyDescent="0.3">
      <c r="A280">
        <v>586</v>
      </c>
      <c r="B280">
        <v>1073807851</v>
      </c>
      <c r="C280" t="s">
        <v>203</v>
      </c>
    </row>
    <row r="281" spans="1:3" x14ac:dyDescent="0.3">
      <c r="A281">
        <v>587</v>
      </c>
      <c r="B281">
        <v>51933356</v>
      </c>
      <c r="C281" t="s">
        <v>203</v>
      </c>
    </row>
    <row r="282" spans="1:3" x14ac:dyDescent="0.3">
      <c r="A282">
        <v>599</v>
      </c>
      <c r="B282">
        <v>1192784152</v>
      </c>
      <c r="C282" t="s">
        <v>203</v>
      </c>
    </row>
    <row r="283" spans="1:3" x14ac:dyDescent="0.3">
      <c r="A283">
        <v>685</v>
      </c>
      <c r="B283">
        <v>1001884656</v>
      </c>
      <c r="C283" t="s">
        <v>203</v>
      </c>
    </row>
    <row r="284" spans="1:3" x14ac:dyDescent="0.3">
      <c r="A284">
        <v>721</v>
      </c>
      <c r="B284">
        <v>1007940000</v>
      </c>
      <c r="C284" t="s">
        <v>203</v>
      </c>
    </row>
    <row r="285" spans="1:3" x14ac:dyDescent="0.3">
      <c r="A285">
        <v>730</v>
      </c>
      <c r="B285">
        <v>1069432426</v>
      </c>
      <c r="C285" t="s">
        <v>203</v>
      </c>
    </row>
    <row r="286" spans="1:3" x14ac:dyDescent="0.3">
      <c r="A286">
        <v>735</v>
      </c>
      <c r="B286">
        <v>25026729</v>
      </c>
      <c r="C286" t="s">
        <v>203</v>
      </c>
    </row>
    <row r="287" spans="1:3" x14ac:dyDescent="0.3">
      <c r="A287">
        <v>757</v>
      </c>
      <c r="B287">
        <v>1030697321</v>
      </c>
      <c r="C287" t="s">
        <v>203</v>
      </c>
    </row>
    <row r="288" spans="1:3" x14ac:dyDescent="0.3">
      <c r="A288">
        <v>759</v>
      </c>
      <c r="B288">
        <v>37616117</v>
      </c>
      <c r="C288" t="s">
        <v>203</v>
      </c>
    </row>
    <row r="289" spans="1:3" x14ac:dyDescent="0.3">
      <c r="A289">
        <v>764</v>
      </c>
      <c r="B289">
        <v>1106307533</v>
      </c>
      <c r="C289" t="s">
        <v>203</v>
      </c>
    </row>
    <row r="290" spans="1:3" x14ac:dyDescent="0.3">
      <c r="A290">
        <v>789</v>
      </c>
      <c r="B290">
        <v>47395106</v>
      </c>
      <c r="C290" t="s">
        <v>203</v>
      </c>
    </row>
    <row r="291" spans="1:3" x14ac:dyDescent="0.3">
      <c r="A291">
        <v>801</v>
      </c>
      <c r="B291">
        <v>1120865619</v>
      </c>
      <c r="C291" t="s">
        <v>203</v>
      </c>
    </row>
    <row r="292" spans="1:3" x14ac:dyDescent="0.3">
      <c r="A292">
        <v>935</v>
      </c>
      <c r="B292">
        <v>1010164486</v>
      </c>
      <c r="C292" t="s">
        <v>203</v>
      </c>
    </row>
    <row r="293" spans="1:3" x14ac:dyDescent="0.3">
      <c r="A293">
        <v>937</v>
      </c>
      <c r="B293">
        <v>1004998270</v>
      </c>
      <c r="C293" t="s">
        <v>203</v>
      </c>
    </row>
    <row r="294" spans="1:3" x14ac:dyDescent="0.3">
      <c r="A294">
        <v>963</v>
      </c>
      <c r="B294">
        <v>59827045</v>
      </c>
      <c r="C294" t="s">
        <v>203</v>
      </c>
    </row>
    <row r="295" spans="1:3" x14ac:dyDescent="0.3">
      <c r="A295">
        <v>1000</v>
      </c>
      <c r="B295">
        <v>1000859241</v>
      </c>
      <c r="C295" t="s">
        <v>203</v>
      </c>
    </row>
    <row r="296" spans="1:3" x14ac:dyDescent="0.3">
      <c r="A296">
        <v>1024</v>
      </c>
      <c r="B296">
        <v>23315243</v>
      </c>
      <c r="C296" t="s">
        <v>203</v>
      </c>
    </row>
    <row r="297" spans="1:3" x14ac:dyDescent="0.3">
      <c r="A297">
        <v>1061</v>
      </c>
      <c r="B297">
        <v>1087113402</v>
      </c>
      <c r="C297" t="s">
        <v>203</v>
      </c>
    </row>
    <row r="298" spans="1:3" x14ac:dyDescent="0.3">
      <c r="A298">
        <v>1071</v>
      </c>
      <c r="B298">
        <v>1007302877</v>
      </c>
      <c r="C298" t="s">
        <v>203</v>
      </c>
    </row>
    <row r="299" spans="1:3" x14ac:dyDescent="0.3">
      <c r="A299">
        <v>1086</v>
      </c>
      <c r="B299">
        <v>43997228</v>
      </c>
      <c r="C299" t="s">
        <v>203</v>
      </c>
    </row>
    <row r="300" spans="1:3" x14ac:dyDescent="0.3">
      <c r="A300">
        <v>1101</v>
      </c>
      <c r="B300">
        <v>1030674804</v>
      </c>
      <c r="C300" t="s">
        <v>203</v>
      </c>
    </row>
    <row r="301" spans="1:3" x14ac:dyDescent="0.3">
      <c r="A301">
        <v>1114</v>
      </c>
      <c r="B301">
        <v>1081274730</v>
      </c>
      <c r="C301" t="s">
        <v>203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F21F8-664E-4452-B0B9-893F3A1C08AD}">
  <dimension ref="A1:XFA3000"/>
  <sheetViews>
    <sheetView tabSelected="1" topLeftCell="BI1" zoomScale="93" zoomScaleNormal="141" workbookViewId="0">
      <pane ySplit="1" topLeftCell="A2" activePane="bottomLeft" state="frozen"/>
      <selection pane="bottomLeft" activeCell="BP2" sqref="BP2"/>
    </sheetView>
  </sheetViews>
  <sheetFormatPr baseColWidth="10" defaultColWidth="0" defaultRowHeight="205.5" customHeight="1" zeroHeight="1" x14ac:dyDescent="0.3"/>
  <cols>
    <col min="1" max="1" width="11" style="91" customWidth="1"/>
    <col min="2" max="2" width="11.44140625" style="92" customWidth="1"/>
    <col min="3" max="3" width="12.109375" style="93" customWidth="1"/>
    <col min="4" max="4" width="10.33203125" style="68" customWidth="1"/>
    <col min="5" max="5" width="11.6640625" style="68" customWidth="1"/>
    <col min="6" max="6" width="13.5546875" style="88" customWidth="1"/>
    <col min="7" max="7" width="16.88671875" style="68" customWidth="1"/>
    <col min="8" max="8" width="10.109375" style="68" customWidth="1"/>
    <col min="9" max="9" width="10.88671875" style="68" customWidth="1"/>
    <col min="10" max="10" width="9.88671875" style="68" customWidth="1"/>
    <col min="11" max="11" width="13" style="10" customWidth="1"/>
    <col min="12" max="12" width="19.109375" style="10" customWidth="1"/>
    <col min="13" max="13" width="19.33203125" style="68" customWidth="1"/>
    <col min="14" max="14" width="12.88671875" style="68" customWidth="1"/>
    <col min="15" max="15" width="17.109375" style="68" customWidth="1"/>
    <col min="16" max="16" width="17.6640625" style="68" customWidth="1"/>
    <col min="17" max="17" width="15.6640625" style="68" customWidth="1"/>
    <col min="18" max="18" width="14.33203125" style="68" customWidth="1"/>
    <col min="19" max="19" width="18.33203125" style="68" customWidth="1"/>
    <col min="20" max="20" width="120.33203125" style="68" customWidth="1"/>
    <col min="21" max="21" width="10.6640625" style="68" customWidth="1"/>
    <col min="22" max="22" width="15" style="68" customWidth="1"/>
    <col min="23" max="23" width="15.88671875" style="10" customWidth="1"/>
    <col min="24" max="24" width="8.88671875" style="68" customWidth="1"/>
    <col min="25" max="25" width="11.5546875" style="68" customWidth="1"/>
    <col min="26" max="26" width="18.5546875" style="68" customWidth="1"/>
    <col min="27" max="27" width="15.6640625" style="68" customWidth="1"/>
    <col min="28" max="28" width="16.6640625" style="68" customWidth="1"/>
    <col min="29" max="29" width="27" style="68" customWidth="1"/>
    <col min="30" max="30" width="24.6640625" style="68" customWidth="1"/>
    <col min="31" max="31" width="92.6640625" style="68" customWidth="1"/>
    <col min="32" max="32" width="11.33203125" style="68" customWidth="1"/>
    <col min="33" max="33" width="12.5546875" style="68" customWidth="1"/>
    <col min="34" max="34" width="18.6640625" style="10" customWidth="1"/>
    <col min="35" max="35" width="10.33203125" style="68" customWidth="1"/>
    <col min="36" max="37" width="11.5546875" style="68" customWidth="1"/>
    <col min="38" max="38" width="18.6640625" style="68" customWidth="1"/>
    <col min="39" max="39" width="17.6640625" style="68" customWidth="1"/>
    <col min="40" max="40" width="11.88671875" style="68" customWidth="1"/>
    <col min="41" max="41" width="25.6640625" style="68" customWidth="1"/>
    <col min="42" max="42" width="78.109375" style="68" customWidth="1"/>
    <col min="43" max="43" width="10.109375" style="68" customWidth="1"/>
    <col min="44" max="44" width="11.88671875" style="68" customWidth="1"/>
    <col min="45" max="45" width="19" style="10" customWidth="1"/>
    <col min="46" max="46" width="11.44140625" style="68" customWidth="1"/>
    <col min="47" max="47" width="16.109375" style="68" customWidth="1"/>
    <col min="48" max="48" width="28.33203125" style="68" customWidth="1"/>
    <col min="49" max="49" width="19.6640625" style="68" customWidth="1"/>
    <col min="50" max="50" width="17.6640625" style="68" customWidth="1"/>
    <col min="51" max="51" width="15.33203125" style="68" bestFit="1" customWidth="1"/>
    <col min="52" max="52" width="25.6640625" style="68" customWidth="1"/>
    <col min="53" max="53" width="108.6640625" style="68" customWidth="1"/>
    <col min="54" max="55" width="11" style="68" customWidth="1"/>
    <col min="56" max="56" width="18.6640625" style="10" customWidth="1"/>
    <col min="57" max="57" width="9.44140625" style="68" customWidth="1"/>
    <col min="58" max="58" width="11.5546875" style="68" customWidth="1"/>
    <col min="59" max="59" width="24.6640625" style="68" customWidth="1"/>
    <col min="60" max="60" width="19.6640625" style="68" customWidth="1"/>
    <col min="61" max="61" width="17.6640625" style="68" customWidth="1"/>
    <col min="62" max="62" width="11.88671875" style="68" customWidth="1"/>
    <col min="63" max="63" width="25.6640625" style="68" customWidth="1"/>
    <col min="64" max="64" width="97.44140625" style="68" customWidth="1"/>
    <col min="65" max="66" width="10.33203125" style="68" customWidth="1"/>
    <col min="67" max="67" width="18.109375" style="10" customWidth="1"/>
    <col min="68" max="70" width="11.44140625" style="68" customWidth="1"/>
    <col min="71" max="71" width="19.6640625" style="68" customWidth="1"/>
    <col min="72" max="72" width="17.6640625" style="68" customWidth="1"/>
    <col min="73" max="73" width="11.88671875" style="68" customWidth="1"/>
    <col min="74" max="74" width="25.6640625" style="68" customWidth="1"/>
    <col min="75" max="75" width="106.33203125" style="68" customWidth="1"/>
    <col min="76" max="77" width="10.88671875" style="68" customWidth="1"/>
    <col min="78" max="78" width="16.5546875" style="10" customWidth="1"/>
    <col min="79" max="79" width="11.33203125" style="10" customWidth="1"/>
    <col min="80" max="80" width="11.44140625" style="10" customWidth="1"/>
    <col min="81" max="81" width="18.33203125" style="10" customWidth="1"/>
    <col min="82" max="82" width="20" style="10" customWidth="1"/>
    <col min="83" max="84" width="11.44140625" style="10" customWidth="1"/>
    <col min="85" max="85" width="18.44140625" style="10" customWidth="1"/>
    <col min="86" max="86" width="42" style="10" customWidth="1"/>
    <col min="87" max="87" width="15.33203125" style="10" customWidth="1"/>
    <col min="88" max="88" width="19.5546875" style="10" customWidth="1"/>
    <col min="89" max="89" width="34" style="10" customWidth="1"/>
    <col min="90" max="90" width="15" style="10" bestFit="1" customWidth="1"/>
    <col min="91" max="91" width="38.5546875" style="10" customWidth="1"/>
    <col min="92" max="92" width="18" style="10" customWidth="1"/>
    <col min="93" max="93" width="71.5546875" style="10" customWidth="1"/>
    <col min="94" max="94" width="11.44140625" style="10" customWidth="1"/>
    <col min="95" max="16381" width="0" style="10" hidden="1"/>
    <col min="16382" max="16384" width="11.44140625" style="10" hidden="1"/>
  </cols>
  <sheetData>
    <row r="1" spans="1:94" s="70" customFormat="1" ht="84" customHeight="1" x14ac:dyDescent="0.3">
      <c r="A1" s="89" t="s">
        <v>210</v>
      </c>
      <c r="B1" s="123" t="s">
        <v>166</v>
      </c>
      <c r="C1" s="79" t="s">
        <v>211</v>
      </c>
      <c r="D1" s="79" t="s">
        <v>212</v>
      </c>
      <c r="E1" s="79" t="s">
        <v>213</v>
      </c>
      <c r="F1" s="83" t="s">
        <v>214</v>
      </c>
      <c r="G1" s="123" t="s">
        <v>215</v>
      </c>
      <c r="H1" s="123" t="s">
        <v>216</v>
      </c>
      <c r="I1" s="123" t="s">
        <v>217</v>
      </c>
      <c r="J1" s="123" t="s">
        <v>218</v>
      </c>
      <c r="K1" s="123" t="s">
        <v>219</v>
      </c>
      <c r="L1" s="109" t="s">
        <v>220</v>
      </c>
      <c r="M1" s="109" t="s">
        <v>221</v>
      </c>
      <c r="N1" s="109" t="s">
        <v>30</v>
      </c>
      <c r="O1" s="109" t="s">
        <v>222</v>
      </c>
      <c r="P1" s="109" t="s">
        <v>223</v>
      </c>
      <c r="Q1" s="109" t="s">
        <v>224</v>
      </c>
      <c r="R1" s="109" t="s">
        <v>225</v>
      </c>
      <c r="S1" s="109" t="s">
        <v>226</v>
      </c>
      <c r="T1" s="122" t="s">
        <v>227</v>
      </c>
      <c r="U1" s="109" t="s">
        <v>228</v>
      </c>
      <c r="V1" s="109" t="s">
        <v>229</v>
      </c>
      <c r="W1" s="110" t="s">
        <v>230</v>
      </c>
      <c r="X1" s="110" t="s">
        <v>231</v>
      </c>
      <c r="Y1" s="110" t="s">
        <v>232</v>
      </c>
      <c r="Z1" s="110" t="s">
        <v>233</v>
      </c>
      <c r="AA1" s="110" t="s">
        <v>234</v>
      </c>
      <c r="AB1" s="110" t="s">
        <v>235</v>
      </c>
      <c r="AC1" s="110" t="s">
        <v>236</v>
      </c>
      <c r="AD1" s="110" t="s">
        <v>237</v>
      </c>
      <c r="AE1" s="121" t="s">
        <v>238</v>
      </c>
      <c r="AF1" s="110" t="s">
        <v>239</v>
      </c>
      <c r="AG1" s="110" t="s">
        <v>240</v>
      </c>
      <c r="AH1" s="109" t="s">
        <v>241</v>
      </c>
      <c r="AI1" s="109" t="s">
        <v>242</v>
      </c>
      <c r="AJ1" s="109" t="s">
        <v>243</v>
      </c>
      <c r="AK1" s="109" t="s">
        <v>244</v>
      </c>
      <c r="AL1" s="109" t="s">
        <v>245</v>
      </c>
      <c r="AM1" s="109" t="s">
        <v>246</v>
      </c>
      <c r="AN1" s="109" t="s">
        <v>247</v>
      </c>
      <c r="AO1" s="109" t="s">
        <v>248</v>
      </c>
      <c r="AP1" s="120" t="s">
        <v>249</v>
      </c>
      <c r="AQ1" s="109" t="s">
        <v>250</v>
      </c>
      <c r="AR1" s="109" t="s">
        <v>251</v>
      </c>
      <c r="AS1" s="123" t="s">
        <v>252</v>
      </c>
      <c r="AT1" s="123" t="s">
        <v>253</v>
      </c>
      <c r="AU1" s="123" t="s">
        <v>254</v>
      </c>
      <c r="AV1" s="123" t="s">
        <v>255</v>
      </c>
      <c r="AW1" s="123" t="s">
        <v>256</v>
      </c>
      <c r="AX1" s="123" t="s">
        <v>257</v>
      </c>
      <c r="AY1" s="123" t="s">
        <v>258</v>
      </c>
      <c r="AZ1" s="123" t="s">
        <v>259</v>
      </c>
      <c r="BA1" s="123" t="s">
        <v>260</v>
      </c>
      <c r="BB1" s="123" t="s">
        <v>261</v>
      </c>
      <c r="BC1" s="123" t="s">
        <v>262</v>
      </c>
      <c r="BD1" s="109" t="s">
        <v>263</v>
      </c>
      <c r="BE1" s="109" t="s">
        <v>264</v>
      </c>
      <c r="BF1" s="109" t="s">
        <v>265</v>
      </c>
      <c r="BG1" s="109" t="s">
        <v>266</v>
      </c>
      <c r="BH1" s="109" t="s">
        <v>267</v>
      </c>
      <c r="BI1" s="109" t="s">
        <v>268</v>
      </c>
      <c r="BJ1" s="109" t="s">
        <v>269</v>
      </c>
      <c r="BK1" s="109" t="s">
        <v>270</v>
      </c>
      <c r="BL1" s="109" t="s">
        <v>271</v>
      </c>
      <c r="BM1" s="109" t="s">
        <v>272</v>
      </c>
      <c r="BN1" s="109" t="s">
        <v>273</v>
      </c>
      <c r="BO1" s="110" t="s">
        <v>274</v>
      </c>
      <c r="BP1" s="110" t="s">
        <v>275</v>
      </c>
      <c r="BQ1" s="110" t="s">
        <v>276</v>
      </c>
      <c r="BR1" s="110" t="s">
        <v>277</v>
      </c>
      <c r="BS1" s="110" t="s">
        <v>278</v>
      </c>
      <c r="BT1" s="110" t="s">
        <v>279</v>
      </c>
      <c r="BU1" s="110" t="s">
        <v>280</v>
      </c>
      <c r="BV1" s="110" t="s">
        <v>281</v>
      </c>
      <c r="BW1" s="110" t="s">
        <v>282</v>
      </c>
      <c r="BX1" s="110" t="s">
        <v>283</v>
      </c>
      <c r="BY1" s="110" t="s">
        <v>284</v>
      </c>
      <c r="BZ1" s="111" t="s">
        <v>285</v>
      </c>
      <c r="CA1" s="111" t="s">
        <v>286</v>
      </c>
      <c r="CB1" s="111" t="s">
        <v>287</v>
      </c>
      <c r="CC1" s="111" t="s">
        <v>288</v>
      </c>
      <c r="CD1" s="111" t="s">
        <v>289</v>
      </c>
      <c r="CE1" s="111" t="s">
        <v>290</v>
      </c>
      <c r="CF1" s="111" t="s">
        <v>291</v>
      </c>
      <c r="CG1" s="111" t="s">
        <v>292</v>
      </c>
      <c r="CH1" s="111" t="s">
        <v>293</v>
      </c>
      <c r="CI1" s="111" t="s">
        <v>294</v>
      </c>
      <c r="CJ1" s="111" t="s">
        <v>295</v>
      </c>
      <c r="CK1" s="94" t="s">
        <v>296</v>
      </c>
      <c r="CL1" s="95" t="s">
        <v>297</v>
      </c>
      <c r="CM1" s="96" t="s">
        <v>116</v>
      </c>
      <c r="CN1" s="97" t="s">
        <v>298</v>
      </c>
      <c r="CO1" s="97" t="s">
        <v>299</v>
      </c>
      <c r="CP1" s="98" t="s">
        <v>203</v>
      </c>
    </row>
    <row r="2" spans="1:94" s="117" customFormat="1" ht="222" customHeight="1" x14ac:dyDescent="0.3">
      <c r="A2" s="90">
        <v>2</v>
      </c>
      <c r="B2" s="84" t="s">
        <v>0</v>
      </c>
      <c r="C2" s="80">
        <f>+_xlfn.XLOOKUP(Tabla28[[#This Row],[EE]],Tabla25[Columna3],Tabla25[Numero ID],0,0,1)</f>
        <v>123456</v>
      </c>
      <c r="D2" s="99" t="str">
        <f>+_xlfn.XLOOKUP(C2,'Nivel de riesgo'!$C$2:$C$2,'Nivel de riesgo'!$D$2:$D$2,0,0,1)</f>
        <v>Bajo</v>
      </c>
      <c r="E2" s="99">
        <f>+_xlfn.XLOOKUP(C2,'Nivel de riesgo'!$C$2:$C$2,'Nivel de riesgo'!$E$2:$E$2,0,0,1)</f>
        <v>1</v>
      </c>
      <c r="F2" s="84" t="s">
        <v>157</v>
      </c>
      <c r="G2" s="86">
        <v>45601</v>
      </c>
      <c r="H2" s="84">
        <v>5</v>
      </c>
      <c r="I2" s="84">
        <v>7</v>
      </c>
      <c r="J2" s="84"/>
      <c r="K2" s="99" t="str">
        <f ca="1">+IF(Tabla28[[#This Row],[Traslado]]="Seguimiento","Trasladado a Seguimiento",IF(Tabla28[[#This Row],[Caso cerrado]]="Sí","Caso Cerrado",IF(AND(TODAY()&gt;Tabla28[[#This Row],[Primer seguimiento]],Tabla28[[#This Row],[¿Se hizo seguimiento?]]=0),"Primer seguimiento pendiente",IF(AND(TODAY()&gt;Tabla28[[#This Row],[Segundo seguimiento]],Tabla28[[#This Row],[¿se hizo seguimiento?2]]=0),"Segundo seguimiento pendiente",IF(AND(TODAY()&gt;Tabla28[[#This Row],[Tercer seguimiento]],Tabla28[[#This Row],[¿Se hizo seguimiento?3]]=0),"Tercer seguimiento pendiente",IF(AND(TODAY()&gt;Tabla28[[#This Row],[Cuarto seguimiento]],Tabla28[[#This Row],[¿Se hizo seguimiento?4]]=0),"Cuarto seguimiento pendiente",IF(AND(TODAY()&gt;Tabla28[[#This Row],[Quinto seguimiento]],Tabla28[[#This Row],[¿Se hizo seguimiento?5]]=0),"Quinto seguimiento pendiente",IF(AND(TODAY()&gt;Tabla28[[#This Row],[Sexto seguimiento]],Tabla28[[#This Row],[¿Se hizo seguimiento?6]]=0),"Sexto seguimiento pendiente",IF(AND(TODAY()&gt;Tabla28[[#This Row],[Séptimo seguimiento]],Tabla28[[#This Row],[¿Se hizo seguimiento?7]]=0),"Séptimo seguimiento pendiente","Seguimientos al día")))))))))</f>
        <v>Caso Cerrado</v>
      </c>
      <c r="L2" s="107">
        <f t="shared" ref="L2" si="0">+IF(D2="Alto",$G2+(4/24),IF(D2="Medio",$G2+(8/24),$G2+1))</f>
        <v>45602</v>
      </c>
      <c r="M2" s="106" t="s">
        <v>105</v>
      </c>
      <c r="N2" s="106" t="s">
        <v>74</v>
      </c>
      <c r="O2" s="106" t="s">
        <v>105</v>
      </c>
      <c r="P2" s="106" t="s">
        <v>105</v>
      </c>
      <c r="Q2" s="106" t="s">
        <v>35</v>
      </c>
      <c r="R2" s="106"/>
      <c r="S2" s="106"/>
      <c r="T2" s="118" t="s">
        <v>300</v>
      </c>
      <c r="U2" s="74" t="str">
        <f>SUBSTITUTE(Tabla28[[#This Row],[Nivel riesgo]], "Alt", "N")</f>
        <v>Bajo</v>
      </c>
      <c r="V2" s="106" t="s">
        <v>157</v>
      </c>
      <c r="W2" s="112">
        <f t="shared" ref="W2" si="1">+IF(D2="Alto",$G2+1,IF(D2="Medio",$G2+4,$G2+15))</f>
        <v>45616</v>
      </c>
      <c r="X2" s="85" t="s">
        <v>105</v>
      </c>
      <c r="Y2" s="85"/>
      <c r="Z2" s="85"/>
      <c r="AA2" s="85"/>
      <c r="AB2" s="85"/>
      <c r="AC2" s="85"/>
      <c r="AD2" s="85"/>
      <c r="AE2" s="85" t="s">
        <v>301</v>
      </c>
      <c r="AF2" s="87"/>
      <c r="AG2" s="85" t="s">
        <v>86</v>
      </c>
      <c r="AH2" s="107">
        <f t="shared" ref="AH2" si="2">+IF(D2="Alto",$G2+2,IF(D2="Medio",$G2+15,$G2+30))</f>
        <v>45631</v>
      </c>
      <c r="AI2" s="106" t="s">
        <v>105</v>
      </c>
      <c r="AJ2" s="106"/>
      <c r="AK2" s="106"/>
      <c r="AL2" s="106"/>
      <c r="AM2" s="106"/>
      <c r="AN2" s="106"/>
      <c r="AO2" s="106"/>
      <c r="AP2" s="106" t="s">
        <v>302</v>
      </c>
      <c r="AQ2" s="75">
        <f>SECOND(Tabla28[[#This Row],[Cuarto seguimiento]])</f>
        <v>0</v>
      </c>
      <c r="AR2" s="106" t="s">
        <v>157</v>
      </c>
      <c r="AS2" s="113">
        <f t="shared" ref="AS2" si="3">+IF(D2="Alto",$G2+(72/24),IF(D2="Medio",$G2+30,$G2+60))</f>
        <v>45661</v>
      </c>
      <c r="AT2" s="84" t="s">
        <v>105</v>
      </c>
      <c r="AU2" s="84"/>
      <c r="AV2" s="84"/>
      <c r="AW2" s="84"/>
      <c r="AX2" s="84"/>
      <c r="AY2" s="84"/>
      <c r="AZ2" s="84"/>
      <c r="BA2" s="116" t="s">
        <v>303</v>
      </c>
      <c r="BB2" s="119"/>
      <c r="BC2" s="84" t="s">
        <v>157</v>
      </c>
      <c r="BD2" s="107">
        <f t="shared" ref="BD2" si="4">+IF(D2="Alto",$G2+30,IF(D2="Medio",$G2+60,$G2+90))</f>
        <v>45691</v>
      </c>
      <c r="BE2" s="106" t="s">
        <v>105</v>
      </c>
      <c r="BF2" s="106" t="s">
        <v>58</v>
      </c>
      <c r="BG2" s="106" t="s">
        <v>58</v>
      </c>
      <c r="BH2" s="106" t="s">
        <v>105</v>
      </c>
      <c r="BI2" s="106" t="s">
        <v>40</v>
      </c>
      <c r="BJ2" s="106"/>
      <c r="BK2" s="106"/>
      <c r="BL2" s="106" t="s">
        <v>304</v>
      </c>
      <c r="BM2" s="75"/>
      <c r="BN2" s="106" t="s">
        <v>147</v>
      </c>
      <c r="BO2" s="112" t="str">
        <f t="shared" ref="BO2" si="5">+IF(D2="Alto",$G2+60,IF(D2="Medio",$G2+90,"No"))</f>
        <v>No</v>
      </c>
      <c r="BP2" s="85"/>
      <c r="BQ2" s="85"/>
      <c r="BR2" s="85"/>
      <c r="BS2" s="85"/>
      <c r="BT2" s="85"/>
      <c r="BU2" s="85"/>
      <c r="BV2" s="85"/>
      <c r="BW2" s="85"/>
      <c r="BX2" s="87"/>
      <c r="BY2" s="85"/>
      <c r="BZ2" s="114" t="str">
        <f t="shared" ref="BZ2" si="6">+IF(D2="Alto",$G2+90,"No")</f>
        <v>No</v>
      </c>
      <c r="CA2" s="106"/>
      <c r="CB2" s="106"/>
      <c r="CC2" s="106"/>
      <c r="CD2" s="106"/>
      <c r="CE2" s="106"/>
      <c r="CF2" s="106"/>
      <c r="CG2" s="106"/>
      <c r="CH2" s="106"/>
      <c r="CI2" s="75"/>
      <c r="CJ2" s="106"/>
      <c r="CK2" s="115"/>
      <c r="CL2" s="85" t="s">
        <v>105</v>
      </c>
      <c r="CM2" s="104"/>
      <c r="CN2" s="85" t="s">
        <v>108</v>
      </c>
      <c r="CO2" s="85" t="s">
        <v>305</v>
      </c>
      <c r="CP2" s="105">
        <f>+_xlfn.XLOOKUP(Tabla28[[#This Row],[Número ID]],Tabla23[Cédula],Tabla23[Columna1],0,0,1)</f>
        <v>0</v>
      </c>
    </row>
    <row r="3" spans="1:94" ht="205.5" customHeight="1" x14ac:dyDescent="0.3"/>
    <row r="4" spans="1:94" ht="205.5" customHeight="1" x14ac:dyDescent="0.3"/>
    <row r="5" spans="1:94" ht="205.5" customHeight="1" x14ac:dyDescent="0.3"/>
    <row r="6" spans="1:94" ht="205.5" customHeight="1" x14ac:dyDescent="0.3"/>
    <row r="7" spans="1:94" ht="205.5" customHeight="1" x14ac:dyDescent="0.3"/>
    <row r="8" spans="1:94" ht="205.5" customHeight="1" x14ac:dyDescent="0.3"/>
    <row r="9" spans="1:94" ht="205.5" customHeight="1" x14ac:dyDescent="0.3"/>
    <row r="10" spans="1:94" ht="205.5" customHeight="1" x14ac:dyDescent="0.3"/>
    <row r="11" spans="1:94" ht="205.5" customHeight="1" x14ac:dyDescent="0.3"/>
    <row r="12" spans="1:94" ht="205.5" customHeight="1" x14ac:dyDescent="0.3"/>
    <row r="13" spans="1:94" ht="205.5" customHeight="1" x14ac:dyDescent="0.3"/>
    <row r="14" spans="1:94" ht="205.5" customHeight="1" x14ac:dyDescent="0.3"/>
    <row r="15" spans="1:94" ht="205.5" customHeight="1" x14ac:dyDescent="0.3"/>
    <row r="16" spans="1:94" ht="205.5" customHeight="1" x14ac:dyDescent="0.3"/>
    <row r="17" ht="205.5" customHeight="1" x14ac:dyDescent="0.3"/>
    <row r="18" ht="205.5" customHeight="1" x14ac:dyDescent="0.3"/>
    <row r="19" ht="205.5" customHeight="1" x14ac:dyDescent="0.3"/>
    <row r="20" ht="205.5" customHeight="1" x14ac:dyDescent="0.3"/>
    <row r="21" ht="205.5" customHeight="1" x14ac:dyDescent="0.3"/>
    <row r="22" ht="205.5" customHeight="1" x14ac:dyDescent="0.3"/>
    <row r="23" ht="205.5" customHeight="1" x14ac:dyDescent="0.3"/>
    <row r="24" ht="205.5" customHeight="1" x14ac:dyDescent="0.3"/>
    <row r="25" ht="205.5" customHeight="1" x14ac:dyDescent="0.3"/>
    <row r="26" ht="205.5" customHeight="1" x14ac:dyDescent="0.3"/>
    <row r="27" ht="205.5" customHeight="1" x14ac:dyDescent="0.3"/>
    <row r="28" ht="205.5" customHeight="1" x14ac:dyDescent="0.3"/>
    <row r="29" ht="205.5" customHeight="1" x14ac:dyDescent="0.3"/>
    <row r="30" ht="205.5" customHeight="1" x14ac:dyDescent="0.3"/>
    <row r="31" ht="205.5" customHeight="1" x14ac:dyDescent="0.3"/>
    <row r="32" ht="205.5" customHeight="1" x14ac:dyDescent="0.3"/>
    <row r="33" ht="205.5" customHeight="1" x14ac:dyDescent="0.3"/>
    <row r="34" ht="205.5" customHeight="1" x14ac:dyDescent="0.3"/>
    <row r="35" ht="205.5" customHeight="1" x14ac:dyDescent="0.3"/>
    <row r="36" ht="205.5" customHeight="1" x14ac:dyDescent="0.3"/>
    <row r="37" ht="205.5" customHeight="1" x14ac:dyDescent="0.3"/>
    <row r="38" ht="205.5" customHeight="1" x14ac:dyDescent="0.3"/>
    <row r="39" ht="205.5" customHeight="1" x14ac:dyDescent="0.3"/>
    <row r="40" ht="205.5" customHeight="1" x14ac:dyDescent="0.3"/>
    <row r="41" ht="205.5" customHeight="1" x14ac:dyDescent="0.3"/>
    <row r="42" ht="205.5" customHeight="1" x14ac:dyDescent="0.3"/>
    <row r="43" ht="205.5" customHeight="1" x14ac:dyDescent="0.3"/>
    <row r="44" ht="205.5" customHeight="1" x14ac:dyDescent="0.3"/>
    <row r="45" ht="205.5" customHeight="1" x14ac:dyDescent="0.3"/>
    <row r="46" ht="205.5" customHeight="1" x14ac:dyDescent="0.3"/>
    <row r="47" ht="205.5" customHeight="1" x14ac:dyDescent="0.3"/>
    <row r="48" ht="205.5" customHeight="1" x14ac:dyDescent="0.3"/>
    <row r="49" ht="205.5" customHeight="1" x14ac:dyDescent="0.3"/>
    <row r="50" ht="205.5" customHeight="1" x14ac:dyDescent="0.3"/>
    <row r="51" ht="205.5" customHeight="1" x14ac:dyDescent="0.3"/>
    <row r="52" ht="205.5" customHeight="1" x14ac:dyDescent="0.3"/>
    <row r="53" ht="205.5" customHeight="1" x14ac:dyDescent="0.3"/>
    <row r="54" ht="205.5" customHeight="1" x14ac:dyDescent="0.3"/>
    <row r="55" ht="205.5" customHeight="1" x14ac:dyDescent="0.3"/>
    <row r="56" ht="205.5" customHeight="1" x14ac:dyDescent="0.3"/>
    <row r="57" ht="205.5" customHeight="1" x14ac:dyDescent="0.3"/>
    <row r="58" ht="205.5" customHeight="1" x14ac:dyDescent="0.3"/>
    <row r="59" ht="205.5" customHeight="1" x14ac:dyDescent="0.3"/>
    <row r="60" ht="205.5" customHeight="1" x14ac:dyDescent="0.3"/>
    <row r="61" ht="205.5" customHeight="1" x14ac:dyDescent="0.3"/>
    <row r="62" ht="205.5" customHeight="1" x14ac:dyDescent="0.3"/>
    <row r="63" ht="205.5" customHeight="1" x14ac:dyDescent="0.3"/>
    <row r="64" ht="205.5" customHeight="1" x14ac:dyDescent="0.3"/>
    <row r="65" ht="205.5" customHeight="1" x14ac:dyDescent="0.3"/>
    <row r="66" ht="205.5" customHeight="1" x14ac:dyDescent="0.3"/>
    <row r="67" ht="205.5" customHeight="1" x14ac:dyDescent="0.3"/>
    <row r="68" ht="205.5" customHeight="1" x14ac:dyDescent="0.3"/>
    <row r="69" ht="205.5" customHeight="1" x14ac:dyDescent="0.3"/>
    <row r="70" ht="205.5" customHeight="1" x14ac:dyDescent="0.3"/>
    <row r="71" ht="205.5" customHeight="1" x14ac:dyDescent="0.3"/>
    <row r="72" ht="205.5" customHeight="1" x14ac:dyDescent="0.3"/>
    <row r="73" ht="205.5" customHeight="1" x14ac:dyDescent="0.3"/>
    <row r="74" ht="205.5" customHeight="1" x14ac:dyDescent="0.3"/>
    <row r="75" ht="205.5" customHeight="1" x14ac:dyDescent="0.3"/>
    <row r="76" ht="205.5" customHeight="1" x14ac:dyDescent="0.3"/>
    <row r="77" ht="205.5" customHeight="1" x14ac:dyDescent="0.3"/>
    <row r="78" ht="205.5" customHeight="1" x14ac:dyDescent="0.3"/>
    <row r="79" ht="205.5" customHeight="1" x14ac:dyDescent="0.3"/>
    <row r="80" ht="205.5" customHeight="1" x14ac:dyDescent="0.3"/>
    <row r="81" ht="205.5" customHeight="1" x14ac:dyDescent="0.3"/>
    <row r="82" ht="205.5" customHeight="1" x14ac:dyDescent="0.3"/>
    <row r="83" ht="205.5" customHeight="1" x14ac:dyDescent="0.3"/>
    <row r="84" ht="205.5" customHeight="1" x14ac:dyDescent="0.3"/>
    <row r="85" ht="205.5" customHeight="1" x14ac:dyDescent="0.3"/>
    <row r="86" ht="205.5" customHeight="1" x14ac:dyDescent="0.3"/>
    <row r="87" ht="205.5" customHeight="1" x14ac:dyDescent="0.3"/>
    <row r="88" ht="205.5" customHeight="1" x14ac:dyDescent="0.3"/>
    <row r="89" ht="205.5" customHeight="1" x14ac:dyDescent="0.3"/>
    <row r="90" ht="205.5" customHeight="1" x14ac:dyDescent="0.3"/>
    <row r="91" ht="205.5" customHeight="1" x14ac:dyDescent="0.3"/>
    <row r="92" ht="205.5" customHeight="1" x14ac:dyDescent="0.3"/>
    <row r="93" ht="205.5" customHeight="1" x14ac:dyDescent="0.3"/>
    <row r="94" ht="205.5" customHeight="1" x14ac:dyDescent="0.3"/>
    <row r="95" ht="205.5" customHeight="1" x14ac:dyDescent="0.3"/>
    <row r="96" ht="205.5" customHeight="1" x14ac:dyDescent="0.3"/>
    <row r="97" ht="205.5" customHeight="1" x14ac:dyDescent="0.3"/>
    <row r="98" ht="205.5" customHeight="1" x14ac:dyDescent="0.3"/>
    <row r="99" ht="205.5" customHeight="1" x14ac:dyDescent="0.3"/>
    <row r="100" ht="205.5" customHeight="1" x14ac:dyDescent="0.3"/>
    <row r="101" ht="205.5" customHeight="1" x14ac:dyDescent="0.3"/>
    <row r="102" ht="205.5" customHeight="1" x14ac:dyDescent="0.3"/>
    <row r="103" ht="205.5" customHeight="1" x14ac:dyDescent="0.3"/>
    <row r="104" ht="205.5" customHeight="1" x14ac:dyDescent="0.3"/>
    <row r="105" ht="205.5" customHeight="1" x14ac:dyDescent="0.3"/>
    <row r="106" ht="205.5" customHeight="1" x14ac:dyDescent="0.3"/>
    <row r="107" ht="205.5" customHeight="1" x14ac:dyDescent="0.3"/>
    <row r="108" ht="205.5" customHeight="1" x14ac:dyDescent="0.3"/>
    <row r="109" ht="205.5" customHeight="1" x14ac:dyDescent="0.3"/>
    <row r="110" ht="205.5" customHeight="1" x14ac:dyDescent="0.3"/>
    <row r="111" ht="205.5" customHeight="1" x14ac:dyDescent="0.3"/>
    <row r="112" ht="205.5" customHeight="1" x14ac:dyDescent="0.3"/>
    <row r="113" ht="205.5" customHeight="1" x14ac:dyDescent="0.3"/>
    <row r="114" ht="205.5" customHeight="1" x14ac:dyDescent="0.3"/>
    <row r="115" ht="205.5" customHeight="1" x14ac:dyDescent="0.3"/>
    <row r="116" ht="205.5" customHeight="1" x14ac:dyDescent="0.3"/>
    <row r="117" ht="205.5" customHeight="1" x14ac:dyDescent="0.3"/>
    <row r="118" ht="205.5" customHeight="1" x14ac:dyDescent="0.3"/>
    <row r="119" ht="205.5" customHeight="1" x14ac:dyDescent="0.3"/>
    <row r="120" ht="205.5" customHeight="1" x14ac:dyDescent="0.3"/>
    <row r="121" ht="205.5" customHeight="1" x14ac:dyDescent="0.3"/>
    <row r="122" ht="205.5" customHeight="1" x14ac:dyDescent="0.3"/>
    <row r="123" ht="205.5" customHeight="1" x14ac:dyDescent="0.3"/>
    <row r="124" ht="205.5" customHeight="1" x14ac:dyDescent="0.3"/>
    <row r="125" ht="205.5" customHeight="1" x14ac:dyDescent="0.3"/>
    <row r="126" ht="205.5" customHeight="1" x14ac:dyDescent="0.3"/>
    <row r="127" ht="205.5" customHeight="1" x14ac:dyDescent="0.3"/>
    <row r="128" ht="205.5" customHeight="1" x14ac:dyDescent="0.3"/>
    <row r="129" ht="205.5" customHeight="1" x14ac:dyDescent="0.3"/>
    <row r="130" ht="205.5" customHeight="1" x14ac:dyDescent="0.3"/>
    <row r="131" ht="205.5" customHeight="1" x14ac:dyDescent="0.3"/>
    <row r="132" ht="205.5" customHeight="1" x14ac:dyDescent="0.3"/>
    <row r="133" ht="205.5" customHeight="1" x14ac:dyDescent="0.3"/>
    <row r="134" ht="205.5" customHeight="1" x14ac:dyDescent="0.3"/>
    <row r="135" ht="205.5" customHeight="1" x14ac:dyDescent="0.3"/>
    <row r="136" ht="205.5" customHeight="1" x14ac:dyDescent="0.3"/>
    <row r="137" ht="205.5" customHeight="1" x14ac:dyDescent="0.3"/>
    <row r="138" ht="205.5" customHeight="1" x14ac:dyDescent="0.3"/>
    <row r="139" ht="205.5" customHeight="1" x14ac:dyDescent="0.3"/>
    <row r="140" ht="205.5" customHeight="1" x14ac:dyDescent="0.3"/>
    <row r="141" ht="205.5" customHeight="1" x14ac:dyDescent="0.3"/>
    <row r="142" ht="205.5" customHeight="1" x14ac:dyDescent="0.3"/>
    <row r="143" ht="205.5" customHeight="1" x14ac:dyDescent="0.3"/>
    <row r="144" ht="205.5" customHeight="1" x14ac:dyDescent="0.3"/>
    <row r="145" ht="205.5" customHeight="1" x14ac:dyDescent="0.3"/>
    <row r="146" ht="205.5" customHeight="1" x14ac:dyDescent="0.3"/>
    <row r="147" ht="205.5" customHeight="1" x14ac:dyDescent="0.3"/>
    <row r="148" ht="205.5" customHeight="1" x14ac:dyDescent="0.3"/>
    <row r="149" ht="205.5" customHeight="1" x14ac:dyDescent="0.3"/>
    <row r="150" ht="205.5" customHeight="1" x14ac:dyDescent="0.3"/>
    <row r="151" ht="205.5" customHeight="1" x14ac:dyDescent="0.3"/>
    <row r="152" ht="205.5" customHeight="1" x14ac:dyDescent="0.3"/>
    <row r="153" ht="205.5" customHeight="1" x14ac:dyDescent="0.3"/>
    <row r="154" ht="205.5" customHeight="1" x14ac:dyDescent="0.3"/>
    <row r="155" ht="205.5" customHeight="1" x14ac:dyDescent="0.3"/>
    <row r="156" ht="205.5" customHeight="1" x14ac:dyDescent="0.3"/>
    <row r="157" ht="205.5" customHeight="1" x14ac:dyDescent="0.3"/>
    <row r="158" ht="205.5" customHeight="1" x14ac:dyDescent="0.3"/>
    <row r="159" ht="205.5" customHeight="1" x14ac:dyDescent="0.3"/>
    <row r="160" ht="205.5" customHeight="1" x14ac:dyDescent="0.3"/>
    <row r="161" ht="205.5" customHeight="1" x14ac:dyDescent="0.3"/>
    <row r="162" ht="205.5" customHeight="1" x14ac:dyDescent="0.3"/>
    <row r="163" ht="205.5" customHeight="1" x14ac:dyDescent="0.3"/>
    <row r="164" ht="205.5" customHeight="1" x14ac:dyDescent="0.3"/>
    <row r="165" ht="205.5" customHeight="1" x14ac:dyDescent="0.3"/>
    <row r="166" ht="205.5" customHeight="1" x14ac:dyDescent="0.3"/>
    <row r="167" ht="205.5" customHeight="1" x14ac:dyDescent="0.3"/>
    <row r="168" ht="205.5" customHeight="1" x14ac:dyDescent="0.3"/>
    <row r="169" ht="205.5" customHeight="1" x14ac:dyDescent="0.3"/>
    <row r="170" ht="205.5" customHeight="1" x14ac:dyDescent="0.3"/>
    <row r="171" ht="205.5" customHeight="1" x14ac:dyDescent="0.3"/>
    <row r="172" ht="205.5" customHeight="1" x14ac:dyDescent="0.3"/>
    <row r="173" ht="205.5" customHeight="1" x14ac:dyDescent="0.3"/>
    <row r="174" ht="205.5" customHeight="1" x14ac:dyDescent="0.3"/>
    <row r="175" ht="205.5" customHeight="1" x14ac:dyDescent="0.3"/>
    <row r="176" ht="205.5" customHeight="1" x14ac:dyDescent="0.3"/>
    <row r="177" ht="205.5" customHeight="1" x14ac:dyDescent="0.3"/>
    <row r="178" ht="205.5" customHeight="1" x14ac:dyDescent="0.3"/>
    <row r="179" ht="205.5" customHeight="1" x14ac:dyDescent="0.3"/>
    <row r="180" ht="205.5" customHeight="1" x14ac:dyDescent="0.3"/>
    <row r="181" ht="205.5" customHeight="1" x14ac:dyDescent="0.3"/>
    <row r="182" ht="205.5" customHeight="1" x14ac:dyDescent="0.3"/>
    <row r="183" ht="205.5" customHeight="1" x14ac:dyDescent="0.3"/>
    <row r="184" ht="205.5" customHeight="1" x14ac:dyDescent="0.3"/>
    <row r="185" ht="205.5" customHeight="1" x14ac:dyDescent="0.3"/>
    <row r="186" ht="205.5" customHeight="1" x14ac:dyDescent="0.3"/>
    <row r="187" ht="205.5" customHeight="1" x14ac:dyDescent="0.3"/>
    <row r="188" ht="205.5" customHeight="1" x14ac:dyDescent="0.3"/>
    <row r="189" ht="205.5" customHeight="1" x14ac:dyDescent="0.3"/>
    <row r="190" ht="205.5" customHeight="1" x14ac:dyDescent="0.3"/>
    <row r="191" ht="205.5" customHeight="1" x14ac:dyDescent="0.3"/>
    <row r="192" ht="205.5" customHeight="1" x14ac:dyDescent="0.3"/>
    <row r="193" ht="205.5" customHeight="1" x14ac:dyDescent="0.3"/>
    <row r="194" ht="205.5" customHeight="1" x14ac:dyDescent="0.3"/>
    <row r="195" ht="205.5" customHeight="1" x14ac:dyDescent="0.3"/>
    <row r="196" ht="205.5" customHeight="1" x14ac:dyDescent="0.3"/>
    <row r="197" ht="205.5" customHeight="1" x14ac:dyDescent="0.3"/>
    <row r="198" ht="205.5" customHeight="1" x14ac:dyDescent="0.3"/>
    <row r="199" ht="205.5" customHeight="1" x14ac:dyDescent="0.3"/>
    <row r="200" ht="205.5" customHeight="1" x14ac:dyDescent="0.3"/>
    <row r="201" ht="205.5" customHeight="1" x14ac:dyDescent="0.3"/>
    <row r="202" ht="205.5" customHeight="1" x14ac:dyDescent="0.3"/>
    <row r="203" ht="205.5" customHeight="1" x14ac:dyDescent="0.3"/>
    <row r="204" ht="205.5" customHeight="1" x14ac:dyDescent="0.3"/>
    <row r="205" ht="205.5" customHeight="1" x14ac:dyDescent="0.3"/>
    <row r="206" ht="205.5" customHeight="1" x14ac:dyDescent="0.3"/>
    <row r="207" ht="205.5" customHeight="1" x14ac:dyDescent="0.3"/>
    <row r="208" ht="205.5" customHeight="1" x14ac:dyDescent="0.3"/>
    <row r="209" ht="205.5" customHeight="1" x14ac:dyDescent="0.3"/>
    <row r="210" ht="205.5" customHeight="1" x14ac:dyDescent="0.3"/>
    <row r="211" ht="205.5" customHeight="1" x14ac:dyDescent="0.3"/>
    <row r="212" ht="205.5" customHeight="1" x14ac:dyDescent="0.3"/>
    <row r="213" ht="205.5" customHeight="1" x14ac:dyDescent="0.3"/>
    <row r="214" ht="205.5" customHeight="1" x14ac:dyDescent="0.3"/>
    <row r="215" ht="205.5" customHeight="1" x14ac:dyDescent="0.3"/>
    <row r="216" ht="205.5" customHeight="1" x14ac:dyDescent="0.3"/>
    <row r="217" ht="205.5" customHeight="1" x14ac:dyDescent="0.3"/>
    <row r="218" ht="205.5" customHeight="1" x14ac:dyDescent="0.3"/>
    <row r="219" ht="205.5" customHeight="1" x14ac:dyDescent="0.3"/>
    <row r="220" ht="205.5" customHeight="1" x14ac:dyDescent="0.3"/>
    <row r="221" ht="205.5" customHeight="1" x14ac:dyDescent="0.3"/>
    <row r="222" ht="205.5" customHeight="1" x14ac:dyDescent="0.3"/>
    <row r="223" ht="205.5" customHeight="1" x14ac:dyDescent="0.3"/>
    <row r="224" ht="205.5" customHeight="1" x14ac:dyDescent="0.3"/>
    <row r="225" ht="205.5" customHeight="1" x14ac:dyDescent="0.3"/>
    <row r="226" ht="205.5" customHeight="1" x14ac:dyDescent="0.3"/>
    <row r="227" ht="205.5" customHeight="1" x14ac:dyDescent="0.3"/>
    <row r="228" ht="205.5" customHeight="1" x14ac:dyDescent="0.3"/>
    <row r="229" ht="205.5" customHeight="1" x14ac:dyDescent="0.3"/>
    <row r="230" ht="205.5" customHeight="1" x14ac:dyDescent="0.3"/>
    <row r="231" ht="205.5" customHeight="1" x14ac:dyDescent="0.3"/>
    <row r="232" ht="205.5" customHeight="1" x14ac:dyDescent="0.3"/>
    <row r="233" ht="205.5" customHeight="1" x14ac:dyDescent="0.3"/>
    <row r="234" ht="205.5" customHeight="1" x14ac:dyDescent="0.3"/>
    <row r="235" ht="205.5" customHeight="1" x14ac:dyDescent="0.3"/>
    <row r="236" ht="205.5" customHeight="1" x14ac:dyDescent="0.3"/>
    <row r="237" ht="205.5" customHeight="1" x14ac:dyDescent="0.3"/>
    <row r="238" ht="205.5" customHeight="1" x14ac:dyDescent="0.3"/>
    <row r="239" ht="205.5" customHeight="1" x14ac:dyDescent="0.3"/>
    <row r="240" ht="205.5" customHeight="1" x14ac:dyDescent="0.3"/>
    <row r="241" ht="205.5" customHeight="1" x14ac:dyDescent="0.3"/>
    <row r="242" ht="205.5" customHeight="1" x14ac:dyDescent="0.3"/>
    <row r="243" ht="205.5" customHeight="1" x14ac:dyDescent="0.3"/>
    <row r="244" ht="205.5" customHeight="1" x14ac:dyDescent="0.3"/>
    <row r="245" ht="205.5" customHeight="1" x14ac:dyDescent="0.3"/>
    <row r="246" ht="205.5" customHeight="1" x14ac:dyDescent="0.3"/>
    <row r="247" ht="205.5" customHeight="1" x14ac:dyDescent="0.3"/>
    <row r="248" ht="205.5" customHeight="1" x14ac:dyDescent="0.3"/>
    <row r="249" ht="205.5" customHeight="1" x14ac:dyDescent="0.3"/>
    <row r="250" ht="205.5" customHeight="1" x14ac:dyDescent="0.3"/>
    <row r="251" ht="205.5" customHeight="1" x14ac:dyDescent="0.3"/>
    <row r="252" ht="205.5" customHeight="1" x14ac:dyDescent="0.3"/>
    <row r="253" ht="205.5" customHeight="1" x14ac:dyDescent="0.3"/>
    <row r="254" ht="205.5" customHeight="1" x14ac:dyDescent="0.3"/>
    <row r="255" ht="205.5" customHeight="1" x14ac:dyDescent="0.3"/>
    <row r="256" ht="205.5" customHeight="1" x14ac:dyDescent="0.3"/>
    <row r="257" ht="205.5" customHeight="1" x14ac:dyDescent="0.3"/>
    <row r="258" ht="205.5" customHeight="1" x14ac:dyDescent="0.3"/>
    <row r="259" ht="205.5" customHeight="1" x14ac:dyDescent="0.3"/>
    <row r="260" ht="205.5" customHeight="1" x14ac:dyDescent="0.3"/>
    <row r="261" ht="205.5" customHeight="1" x14ac:dyDescent="0.3"/>
    <row r="262" ht="205.5" customHeight="1" x14ac:dyDescent="0.3"/>
    <row r="263" ht="205.5" customHeight="1" x14ac:dyDescent="0.3"/>
    <row r="264" ht="205.5" customHeight="1" x14ac:dyDescent="0.3"/>
    <row r="265" ht="205.5" customHeight="1" x14ac:dyDescent="0.3"/>
    <row r="266" ht="205.5" customHeight="1" x14ac:dyDescent="0.3"/>
    <row r="267" ht="205.5" customHeight="1" x14ac:dyDescent="0.3"/>
    <row r="268" ht="205.5" customHeight="1" x14ac:dyDescent="0.3"/>
    <row r="269" ht="205.5" customHeight="1" x14ac:dyDescent="0.3"/>
    <row r="270" ht="205.5" customHeight="1" x14ac:dyDescent="0.3"/>
    <row r="271" ht="205.5" customHeight="1" x14ac:dyDescent="0.3"/>
    <row r="272" ht="205.5" customHeight="1" x14ac:dyDescent="0.3"/>
    <row r="273" ht="205.5" customHeight="1" x14ac:dyDescent="0.3"/>
    <row r="274" ht="205.5" customHeight="1" x14ac:dyDescent="0.3"/>
    <row r="275" ht="205.5" customHeight="1" x14ac:dyDescent="0.3"/>
    <row r="276" ht="205.5" customHeight="1" x14ac:dyDescent="0.3"/>
    <row r="277" ht="205.5" customHeight="1" x14ac:dyDescent="0.3"/>
    <row r="278" ht="205.5" customHeight="1" x14ac:dyDescent="0.3"/>
    <row r="279" ht="205.5" customHeight="1" x14ac:dyDescent="0.3"/>
    <row r="280" ht="205.5" customHeight="1" x14ac:dyDescent="0.3"/>
    <row r="281" ht="205.5" customHeight="1" x14ac:dyDescent="0.3"/>
    <row r="282" ht="205.5" customHeight="1" x14ac:dyDescent="0.3"/>
    <row r="283" ht="205.5" customHeight="1" x14ac:dyDescent="0.3"/>
    <row r="284" ht="205.5" customHeight="1" x14ac:dyDescent="0.3"/>
    <row r="285" ht="205.5" customHeight="1" x14ac:dyDescent="0.3"/>
    <row r="286" ht="205.5" customHeight="1" x14ac:dyDescent="0.3"/>
    <row r="287" ht="205.5" customHeight="1" x14ac:dyDescent="0.3"/>
    <row r="288" ht="205.5" customHeight="1" x14ac:dyDescent="0.3"/>
    <row r="289" ht="205.5" customHeight="1" x14ac:dyDescent="0.3"/>
    <row r="290" ht="205.5" customHeight="1" x14ac:dyDescent="0.3"/>
    <row r="291" ht="205.5" customHeight="1" x14ac:dyDescent="0.3"/>
    <row r="292" ht="205.5" customHeight="1" x14ac:dyDescent="0.3"/>
    <row r="293" ht="205.5" customHeight="1" x14ac:dyDescent="0.3"/>
    <row r="294" ht="205.5" customHeight="1" x14ac:dyDescent="0.3"/>
    <row r="295" ht="205.5" customHeight="1" x14ac:dyDescent="0.3"/>
    <row r="296" ht="205.5" customHeight="1" x14ac:dyDescent="0.3"/>
    <row r="297" ht="205.5" customHeight="1" x14ac:dyDescent="0.3"/>
    <row r="298" ht="205.5" customHeight="1" x14ac:dyDescent="0.3"/>
    <row r="299" ht="205.5" customHeight="1" x14ac:dyDescent="0.3"/>
    <row r="300" ht="205.5" customHeight="1" x14ac:dyDescent="0.3"/>
    <row r="301" ht="205.5" customHeight="1" x14ac:dyDescent="0.3"/>
    <row r="302" ht="205.5" customHeight="1" x14ac:dyDescent="0.3"/>
    <row r="303" ht="205.5" customHeight="1" x14ac:dyDescent="0.3"/>
    <row r="304" ht="205.5" customHeight="1" x14ac:dyDescent="0.3"/>
    <row r="305" ht="205.5" customHeight="1" x14ac:dyDescent="0.3"/>
    <row r="306" ht="205.5" customHeight="1" x14ac:dyDescent="0.3"/>
    <row r="307" ht="205.5" customHeight="1" x14ac:dyDescent="0.3"/>
    <row r="308" ht="205.5" customHeight="1" x14ac:dyDescent="0.3"/>
    <row r="309" ht="205.5" customHeight="1" x14ac:dyDescent="0.3"/>
    <row r="310" ht="205.5" customHeight="1" x14ac:dyDescent="0.3"/>
    <row r="311" ht="205.5" customHeight="1" x14ac:dyDescent="0.3"/>
    <row r="312" ht="205.5" customHeight="1" x14ac:dyDescent="0.3"/>
    <row r="313" ht="205.5" customHeight="1" x14ac:dyDescent="0.3"/>
    <row r="314" ht="205.5" customHeight="1" x14ac:dyDescent="0.3"/>
    <row r="315" ht="205.5" customHeight="1" x14ac:dyDescent="0.3"/>
    <row r="316" ht="205.5" customHeight="1" x14ac:dyDescent="0.3"/>
    <row r="317" ht="205.5" customHeight="1" x14ac:dyDescent="0.3"/>
    <row r="318" ht="205.5" customHeight="1" x14ac:dyDescent="0.3"/>
    <row r="319" ht="205.5" customHeight="1" x14ac:dyDescent="0.3"/>
    <row r="320" ht="205.5" customHeight="1" x14ac:dyDescent="0.3"/>
    <row r="321" ht="205.5" customHeight="1" x14ac:dyDescent="0.3"/>
    <row r="322" ht="205.5" customHeight="1" x14ac:dyDescent="0.3"/>
    <row r="323" ht="205.5" customHeight="1" x14ac:dyDescent="0.3"/>
    <row r="324" ht="205.5" customHeight="1" x14ac:dyDescent="0.3"/>
    <row r="325" ht="205.5" customHeight="1" x14ac:dyDescent="0.3"/>
    <row r="326" ht="205.5" customHeight="1" x14ac:dyDescent="0.3"/>
    <row r="327" ht="205.5" customHeight="1" x14ac:dyDescent="0.3"/>
    <row r="328" ht="205.5" customHeight="1" x14ac:dyDescent="0.3"/>
    <row r="329" ht="205.5" customHeight="1" x14ac:dyDescent="0.3"/>
    <row r="330" ht="205.5" customHeight="1" x14ac:dyDescent="0.3"/>
    <row r="331" ht="205.5" customHeight="1" x14ac:dyDescent="0.3"/>
    <row r="332" ht="205.5" customHeight="1" x14ac:dyDescent="0.3"/>
    <row r="333" ht="205.5" customHeight="1" x14ac:dyDescent="0.3"/>
    <row r="334" ht="205.5" customHeight="1" x14ac:dyDescent="0.3"/>
    <row r="335" ht="205.5" customHeight="1" x14ac:dyDescent="0.3"/>
    <row r="336" ht="205.5" customHeight="1" x14ac:dyDescent="0.3"/>
    <row r="337" ht="205.5" customHeight="1" x14ac:dyDescent="0.3"/>
    <row r="338" ht="205.5" customHeight="1" x14ac:dyDescent="0.3"/>
    <row r="339" ht="205.5" customHeight="1" x14ac:dyDescent="0.3"/>
    <row r="340" ht="205.5" customHeight="1" x14ac:dyDescent="0.3"/>
    <row r="341" ht="205.5" customHeight="1" x14ac:dyDescent="0.3"/>
    <row r="342" ht="205.5" customHeight="1" x14ac:dyDescent="0.3"/>
    <row r="343" ht="205.5" customHeight="1" x14ac:dyDescent="0.3"/>
    <row r="344" ht="205.5" customHeight="1" x14ac:dyDescent="0.3"/>
    <row r="345" ht="205.5" customHeight="1" x14ac:dyDescent="0.3"/>
    <row r="346" ht="205.5" customHeight="1" x14ac:dyDescent="0.3"/>
    <row r="347" ht="205.5" customHeight="1" x14ac:dyDescent="0.3"/>
    <row r="348" ht="205.5" customHeight="1" x14ac:dyDescent="0.3"/>
    <row r="349" ht="205.5" customHeight="1" x14ac:dyDescent="0.3"/>
    <row r="350" ht="205.5" customHeight="1" x14ac:dyDescent="0.3"/>
    <row r="351" ht="205.5" customHeight="1" x14ac:dyDescent="0.3"/>
    <row r="352" ht="205.5" customHeight="1" x14ac:dyDescent="0.3"/>
    <row r="353" ht="205.5" customHeight="1" x14ac:dyDescent="0.3"/>
    <row r="354" ht="205.5" customHeight="1" x14ac:dyDescent="0.3"/>
    <row r="355" ht="205.5" customHeight="1" x14ac:dyDescent="0.3"/>
    <row r="356" ht="205.5" customHeight="1" x14ac:dyDescent="0.3"/>
    <row r="357" ht="205.5" customHeight="1" x14ac:dyDescent="0.3"/>
    <row r="358" ht="205.5" customHeight="1" x14ac:dyDescent="0.3"/>
    <row r="359" ht="205.5" customHeight="1" x14ac:dyDescent="0.3"/>
    <row r="360" ht="205.5" customHeight="1" x14ac:dyDescent="0.3"/>
    <row r="361" ht="205.5" customHeight="1" x14ac:dyDescent="0.3"/>
    <row r="362" ht="205.5" customHeight="1" x14ac:dyDescent="0.3"/>
    <row r="363" ht="205.5" customHeight="1" x14ac:dyDescent="0.3"/>
    <row r="364" ht="205.5" customHeight="1" x14ac:dyDescent="0.3"/>
    <row r="365" ht="205.5" customHeight="1" x14ac:dyDescent="0.3"/>
    <row r="366" ht="205.5" customHeight="1" x14ac:dyDescent="0.3"/>
    <row r="367" ht="205.5" customHeight="1" x14ac:dyDescent="0.3"/>
    <row r="368" ht="205.5" customHeight="1" x14ac:dyDescent="0.3"/>
    <row r="369" ht="205.5" customHeight="1" x14ac:dyDescent="0.3"/>
    <row r="370" ht="205.5" customHeight="1" x14ac:dyDescent="0.3"/>
    <row r="371" ht="205.5" customHeight="1" x14ac:dyDescent="0.3"/>
    <row r="372" ht="205.5" customHeight="1" x14ac:dyDescent="0.3"/>
    <row r="373" ht="205.5" customHeight="1" x14ac:dyDescent="0.3"/>
    <row r="374" ht="205.5" customHeight="1" x14ac:dyDescent="0.3"/>
    <row r="375" ht="205.5" customHeight="1" x14ac:dyDescent="0.3"/>
    <row r="376" ht="205.5" customHeight="1" x14ac:dyDescent="0.3"/>
    <row r="377" ht="205.5" customHeight="1" x14ac:dyDescent="0.3"/>
    <row r="378" ht="205.5" customHeight="1" x14ac:dyDescent="0.3"/>
    <row r="379" ht="205.5" customHeight="1" x14ac:dyDescent="0.3"/>
    <row r="380" ht="205.5" customHeight="1" x14ac:dyDescent="0.3"/>
    <row r="381" ht="205.5" customHeight="1" x14ac:dyDescent="0.3"/>
    <row r="382" ht="205.5" customHeight="1" x14ac:dyDescent="0.3"/>
    <row r="383" ht="205.5" customHeight="1" x14ac:dyDescent="0.3"/>
    <row r="384" ht="205.5" customHeight="1" x14ac:dyDescent="0.3"/>
    <row r="385" ht="205.5" customHeight="1" x14ac:dyDescent="0.3"/>
    <row r="386" ht="205.5" customHeight="1" x14ac:dyDescent="0.3"/>
    <row r="387" ht="205.5" customHeight="1" x14ac:dyDescent="0.3"/>
    <row r="388" ht="205.5" customHeight="1" x14ac:dyDescent="0.3"/>
    <row r="389" ht="205.5" customHeight="1" x14ac:dyDescent="0.3"/>
    <row r="390" ht="205.5" customHeight="1" x14ac:dyDescent="0.3"/>
    <row r="391" ht="205.5" customHeight="1" x14ac:dyDescent="0.3"/>
    <row r="392" ht="205.5" customHeight="1" x14ac:dyDescent="0.3"/>
    <row r="393" ht="205.5" customHeight="1" x14ac:dyDescent="0.3"/>
    <row r="394" ht="205.5" customHeight="1" x14ac:dyDescent="0.3"/>
    <row r="395" ht="205.5" customHeight="1" x14ac:dyDescent="0.3"/>
    <row r="396" ht="205.5" customHeight="1" x14ac:dyDescent="0.3"/>
    <row r="397" ht="205.5" customHeight="1" x14ac:dyDescent="0.3"/>
    <row r="398" ht="205.5" customHeight="1" x14ac:dyDescent="0.3"/>
    <row r="399" ht="205.5" customHeight="1" x14ac:dyDescent="0.3"/>
    <row r="400" ht="205.5" customHeight="1" x14ac:dyDescent="0.3"/>
    <row r="401" ht="205.5" customHeight="1" x14ac:dyDescent="0.3"/>
    <row r="402" ht="205.5" customHeight="1" x14ac:dyDescent="0.3"/>
    <row r="403" ht="205.5" customHeight="1" x14ac:dyDescent="0.3"/>
    <row r="404" ht="205.5" customHeight="1" x14ac:dyDescent="0.3"/>
    <row r="405" ht="205.5" customHeight="1" x14ac:dyDescent="0.3"/>
    <row r="406" ht="205.5" customHeight="1" x14ac:dyDescent="0.3"/>
    <row r="407" ht="205.5" customHeight="1" x14ac:dyDescent="0.3"/>
    <row r="408" ht="205.5" customHeight="1" x14ac:dyDescent="0.3"/>
    <row r="409" ht="205.5" customHeight="1" x14ac:dyDescent="0.3"/>
    <row r="410" ht="205.5" customHeight="1" x14ac:dyDescent="0.3"/>
    <row r="411" ht="205.5" customHeight="1" x14ac:dyDescent="0.3"/>
    <row r="412" ht="205.5" customHeight="1" x14ac:dyDescent="0.3"/>
    <row r="413" ht="205.5" customHeight="1" x14ac:dyDescent="0.3"/>
    <row r="414" ht="205.5" customHeight="1" x14ac:dyDescent="0.3"/>
    <row r="415" ht="205.5" customHeight="1" x14ac:dyDescent="0.3"/>
    <row r="416" ht="205.5" customHeight="1" x14ac:dyDescent="0.3"/>
    <row r="417" ht="205.5" customHeight="1" x14ac:dyDescent="0.3"/>
    <row r="418" ht="205.5" customHeight="1" x14ac:dyDescent="0.3"/>
    <row r="419" ht="205.5" customHeight="1" x14ac:dyDescent="0.3"/>
    <row r="420" ht="205.5" customHeight="1" x14ac:dyDescent="0.3"/>
    <row r="421" ht="205.5" customHeight="1" x14ac:dyDescent="0.3"/>
    <row r="422" ht="205.5" customHeight="1" x14ac:dyDescent="0.3"/>
    <row r="423" ht="205.5" customHeight="1" x14ac:dyDescent="0.3"/>
    <row r="424" ht="205.5" customHeight="1" x14ac:dyDescent="0.3"/>
    <row r="425" ht="205.5" customHeight="1" x14ac:dyDescent="0.3"/>
    <row r="426" ht="205.5" customHeight="1" x14ac:dyDescent="0.3"/>
    <row r="427" ht="205.5" customHeight="1" x14ac:dyDescent="0.3"/>
    <row r="428" ht="205.5" customHeight="1" x14ac:dyDescent="0.3"/>
    <row r="429" ht="205.5" customHeight="1" x14ac:dyDescent="0.3"/>
    <row r="430" ht="205.5" customHeight="1" x14ac:dyDescent="0.3"/>
    <row r="431" ht="205.5" customHeight="1" x14ac:dyDescent="0.3"/>
    <row r="432" ht="205.5" customHeight="1" x14ac:dyDescent="0.3"/>
    <row r="433" ht="205.5" customHeight="1" x14ac:dyDescent="0.3"/>
    <row r="434" ht="205.5" customHeight="1" x14ac:dyDescent="0.3"/>
    <row r="435" ht="205.5" customHeight="1" x14ac:dyDescent="0.3"/>
    <row r="436" ht="205.5" customHeight="1" x14ac:dyDescent="0.3"/>
    <row r="437" ht="205.5" customHeight="1" x14ac:dyDescent="0.3"/>
    <row r="438" ht="205.5" customHeight="1" x14ac:dyDescent="0.3"/>
    <row r="439" ht="205.5" customHeight="1" x14ac:dyDescent="0.3"/>
    <row r="440" ht="205.5" customHeight="1" x14ac:dyDescent="0.3"/>
    <row r="441" ht="205.5" customHeight="1" x14ac:dyDescent="0.3"/>
    <row r="442" ht="205.5" customHeight="1" x14ac:dyDescent="0.3"/>
    <row r="443" ht="205.5" customHeight="1" x14ac:dyDescent="0.3"/>
    <row r="444" ht="205.5" customHeight="1" x14ac:dyDescent="0.3"/>
    <row r="445" ht="205.5" customHeight="1" x14ac:dyDescent="0.3"/>
    <row r="446" ht="205.5" customHeight="1" x14ac:dyDescent="0.3"/>
    <row r="447" ht="205.5" customHeight="1" x14ac:dyDescent="0.3"/>
    <row r="448" ht="205.5" customHeight="1" x14ac:dyDescent="0.3"/>
    <row r="449" ht="205.5" customHeight="1" x14ac:dyDescent="0.3"/>
    <row r="450" ht="205.5" customHeight="1" x14ac:dyDescent="0.3"/>
    <row r="451" ht="205.5" customHeight="1" x14ac:dyDescent="0.3"/>
    <row r="452" ht="205.5" customHeight="1" x14ac:dyDescent="0.3"/>
    <row r="453" ht="205.5" customHeight="1" x14ac:dyDescent="0.3"/>
    <row r="454" ht="205.5" customHeight="1" x14ac:dyDescent="0.3"/>
    <row r="455" ht="205.5" customHeight="1" x14ac:dyDescent="0.3"/>
    <row r="456" ht="205.5" customHeight="1" x14ac:dyDescent="0.3"/>
    <row r="457" ht="205.5" customHeight="1" x14ac:dyDescent="0.3"/>
    <row r="458" ht="205.5" customHeight="1" x14ac:dyDescent="0.3"/>
    <row r="459" ht="205.5" customHeight="1" x14ac:dyDescent="0.3"/>
    <row r="460" ht="205.5" customHeight="1" x14ac:dyDescent="0.3"/>
    <row r="461" ht="205.5" customHeight="1" x14ac:dyDescent="0.3"/>
    <row r="462" ht="205.5" customHeight="1" x14ac:dyDescent="0.3"/>
    <row r="463" ht="205.5" customHeight="1" x14ac:dyDescent="0.3"/>
    <row r="464" ht="205.5" customHeight="1" x14ac:dyDescent="0.3"/>
    <row r="465" ht="205.5" customHeight="1" x14ac:dyDescent="0.3"/>
    <row r="466" ht="205.5" customHeight="1" x14ac:dyDescent="0.3"/>
    <row r="467" ht="205.5" customHeight="1" x14ac:dyDescent="0.3"/>
    <row r="468" ht="205.5" customHeight="1" x14ac:dyDescent="0.3"/>
    <row r="469" ht="205.5" customHeight="1" x14ac:dyDescent="0.3"/>
    <row r="470" ht="205.5" customHeight="1" x14ac:dyDescent="0.3"/>
    <row r="471" ht="205.5" customHeight="1" x14ac:dyDescent="0.3"/>
    <row r="472" ht="205.5" customHeight="1" x14ac:dyDescent="0.3"/>
    <row r="473" ht="205.5" customHeight="1" x14ac:dyDescent="0.3"/>
    <row r="474" ht="205.5" customHeight="1" x14ac:dyDescent="0.3"/>
    <row r="475" ht="205.5" customHeight="1" x14ac:dyDescent="0.3"/>
    <row r="476" ht="205.5" customHeight="1" x14ac:dyDescent="0.3"/>
    <row r="477" ht="205.5" customHeight="1" x14ac:dyDescent="0.3"/>
    <row r="478" ht="205.5" customHeight="1" x14ac:dyDescent="0.3"/>
    <row r="479" ht="205.5" customHeight="1" x14ac:dyDescent="0.3"/>
    <row r="480" ht="205.5" customHeight="1" x14ac:dyDescent="0.3"/>
    <row r="481" ht="205.5" customHeight="1" x14ac:dyDescent="0.3"/>
    <row r="482" ht="205.5" customHeight="1" x14ac:dyDescent="0.3"/>
    <row r="483" ht="205.5" customHeight="1" x14ac:dyDescent="0.3"/>
    <row r="484" ht="205.5" customHeight="1" x14ac:dyDescent="0.3"/>
    <row r="485" ht="205.5" customHeight="1" x14ac:dyDescent="0.3"/>
    <row r="486" ht="205.5" customHeight="1" x14ac:dyDescent="0.3"/>
    <row r="487" ht="205.5" customHeight="1" x14ac:dyDescent="0.3"/>
    <row r="488" ht="205.5" customHeight="1" x14ac:dyDescent="0.3"/>
    <row r="489" ht="205.5" customHeight="1" x14ac:dyDescent="0.3"/>
    <row r="490" ht="205.5" customHeight="1" x14ac:dyDescent="0.3"/>
    <row r="491" ht="205.5" customHeight="1" x14ac:dyDescent="0.3"/>
    <row r="492" ht="205.5" customHeight="1" x14ac:dyDescent="0.3"/>
    <row r="493" ht="205.5" customHeight="1" x14ac:dyDescent="0.3"/>
    <row r="494" ht="205.5" customHeight="1" x14ac:dyDescent="0.3"/>
    <row r="495" ht="205.5" customHeight="1" x14ac:dyDescent="0.3"/>
    <row r="496" ht="205.5" customHeight="1" x14ac:dyDescent="0.3"/>
    <row r="497" ht="205.5" customHeight="1" x14ac:dyDescent="0.3"/>
    <row r="498" ht="205.5" customHeight="1" x14ac:dyDescent="0.3"/>
    <row r="499" ht="205.5" customHeight="1" x14ac:dyDescent="0.3"/>
    <row r="500" ht="205.5" customHeight="1" x14ac:dyDescent="0.3"/>
    <row r="501" ht="205.5" customHeight="1" x14ac:dyDescent="0.3"/>
    <row r="502" ht="205.5" customHeight="1" x14ac:dyDescent="0.3"/>
    <row r="503" ht="205.5" customHeight="1" x14ac:dyDescent="0.3"/>
    <row r="504" ht="205.5" customHeight="1" x14ac:dyDescent="0.3"/>
    <row r="505" ht="205.5" customHeight="1" x14ac:dyDescent="0.3"/>
    <row r="506" ht="205.5" customHeight="1" x14ac:dyDescent="0.3"/>
    <row r="507" ht="205.5" customHeight="1" x14ac:dyDescent="0.3"/>
    <row r="508" ht="205.5" customHeight="1" x14ac:dyDescent="0.3"/>
    <row r="509" ht="205.5" customHeight="1" x14ac:dyDescent="0.3"/>
    <row r="510" ht="205.5" customHeight="1" x14ac:dyDescent="0.3"/>
    <row r="511" ht="205.5" customHeight="1" x14ac:dyDescent="0.3"/>
    <row r="512" ht="205.5" customHeight="1" x14ac:dyDescent="0.3"/>
    <row r="513" ht="205.5" customHeight="1" x14ac:dyDescent="0.3"/>
    <row r="514" ht="205.5" customHeight="1" x14ac:dyDescent="0.3"/>
    <row r="515" ht="205.5" customHeight="1" x14ac:dyDescent="0.3"/>
    <row r="516" ht="205.5" customHeight="1" x14ac:dyDescent="0.3"/>
    <row r="517" ht="205.5" customHeight="1" x14ac:dyDescent="0.3"/>
    <row r="518" ht="205.5" customHeight="1" x14ac:dyDescent="0.3"/>
    <row r="519" ht="205.5" customHeight="1" x14ac:dyDescent="0.3"/>
    <row r="520" ht="205.5" customHeight="1" x14ac:dyDescent="0.3"/>
    <row r="521" ht="205.5" customHeight="1" x14ac:dyDescent="0.3"/>
    <row r="522" ht="205.5" customHeight="1" x14ac:dyDescent="0.3"/>
    <row r="523" ht="205.5" customHeight="1" x14ac:dyDescent="0.3"/>
    <row r="524" ht="205.5" customHeight="1" x14ac:dyDescent="0.3"/>
    <row r="525" ht="205.5" customHeight="1" x14ac:dyDescent="0.3"/>
    <row r="526" ht="205.5" customHeight="1" x14ac:dyDescent="0.3"/>
    <row r="527" ht="205.5" customHeight="1" x14ac:dyDescent="0.3"/>
    <row r="528" ht="205.5" customHeight="1" x14ac:dyDescent="0.3"/>
    <row r="529" ht="205.5" customHeight="1" x14ac:dyDescent="0.3"/>
    <row r="530" ht="205.5" customHeight="1" x14ac:dyDescent="0.3"/>
    <row r="531" ht="205.5" customHeight="1" x14ac:dyDescent="0.3"/>
    <row r="532" ht="205.5" customHeight="1" x14ac:dyDescent="0.3"/>
    <row r="533" ht="205.5" customHeight="1" x14ac:dyDescent="0.3"/>
    <row r="534" ht="205.5" customHeight="1" x14ac:dyDescent="0.3"/>
    <row r="535" ht="205.5" customHeight="1" x14ac:dyDescent="0.3"/>
    <row r="536" ht="205.5" customHeight="1" x14ac:dyDescent="0.3"/>
    <row r="537" ht="205.5" customHeight="1" x14ac:dyDescent="0.3"/>
    <row r="538" ht="205.5" customHeight="1" x14ac:dyDescent="0.3"/>
    <row r="539" ht="205.5" customHeight="1" x14ac:dyDescent="0.3"/>
    <row r="540" ht="205.5" customHeight="1" x14ac:dyDescent="0.3"/>
    <row r="541" ht="205.5" customHeight="1" x14ac:dyDescent="0.3"/>
    <row r="542" ht="205.5" customHeight="1" x14ac:dyDescent="0.3"/>
    <row r="543" ht="205.5" customHeight="1" x14ac:dyDescent="0.3"/>
    <row r="544" ht="205.5" customHeight="1" x14ac:dyDescent="0.3"/>
    <row r="545" ht="205.5" customHeight="1" x14ac:dyDescent="0.3"/>
    <row r="546" ht="205.5" customHeight="1" x14ac:dyDescent="0.3"/>
    <row r="547" ht="205.5" customHeight="1" x14ac:dyDescent="0.3"/>
    <row r="548" ht="205.5" customHeight="1" x14ac:dyDescent="0.3"/>
    <row r="549" ht="205.5" customHeight="1" x14ac:dyDescent="0.3"/>
    <row r="550" ht="205.5" customHeight="1" x14ac:dyDescent="0.3"/>
    <row r="551" ht="205.5" customHeight="1" x14ac:dyDescent="0.3"/>
    <row r="552" ht="205.5" customHeight="1" x14ac:dyDescent="0.3"/>
    <row r="553" ht="205.5" customHeight="1" x14ac:dyDescent="0.3"/>
    <row r="554" ht="205.5" customHeight="1" x14ac:dyDescent="0.3"/>
    <row r="555" ht="205.5" customHeight="1" x14ac:dyDescent="0.3"/>
    <row r="556" ht="205.5" customHeight="1" x14ac:dyDescent="0.3"/>
    <row r="557" ht="205.5" customHeight="1" x14ac:dyDescent="0.3"/>
    <row r="558" ht="205.5" customHeight="1" x14ac:dyDescent="0.3"/>
    <row r="559" ht="205.5" customHeight="1" x14ac:dyDescent="0.3"/>
    <row r="560" ht="205.5" customHeight="1" x14ac:dyDescent="0.3"/>
    <row r="561" ht="205.5" customHeight="1" x14ac:dyDescent="0.3"/>
    <row r="562" ht="205.5" customHeight="1" x14ac:dyDescent="0.3"/>
    <row r="563" ht="205.5" customHeight="1" x14ac:dyDescent="0.3"/>
    <row r="564" ht="205.5" customHeight="1" x14ac:dyDescent="0.3"/>
    <row r="565" ht="205.5" customHeight="1" x14ac:dyDescent="0.3"/>
    <row r="566" ht="205.5" customHeight="1" x14ac:dyDescent="0.3"/>
    <row r="567" ht="205.5" customHeight="1" x14ac:dyDescent="0.3"/>
    <row r="568" ht="205.5" customHeight="1" x14ac:dyDescent="0.3"/>
    <row r="569" ht="205.5" customHeight="1" x14ac:dyDescent="0.3"/>
    <row r="570" ht="205.5" customHeight="1" x14ac:dyDescent="0.3"/>
    <row r="571" ht="205.5" customHeight="1" x14ac:dyDescent="0.3"/>
    <row r="572" ht="205.5" customHeight="1" x14ac:dyDescent="0.3"/>
    <row r="573" ht="205.5" customHeight="1" x14ac:dyDescent="0.3"/>
    <row r="574" ht="205.5" customHeight="1" x14ac:dyDescent="0.3"/>
    <row r="575" ht="205.5" customHeight="1" x14ac:dyDescent="0.3"/>
    <row r="576" ht="205.5" customHeight="1" x14ac:dyDescent="0.3"/>
    <row r="577" ht="205.5" customHeight="1" x14ac:dyDescent="0.3"/>
    <row r="578" ht="205.5" customHeight="1" x14ac:dyDescent="0.3"/>
    <row r="579" ht="205.5" customHeight="1" x14ac:dyDescent="0.3"/>
    <row r="580" ht="205.5" customHeight="1" x14ac:dyDescent="0.3"/>
    <row r="581" ht="205.5" customHeight="1" x14ac:dyDescent="0.3"/>
    <row r="582" ht="205.5" customHeight="1" x14ac:dyDescent="0.3"/>
    <row r="583" ht="205.5" customHeight="1" x14ac:dyDescent="0.3"/>
    <row r="584" ht="205.5" customHeight="1" x14ac:dyDescent="0.3"/>
    <row r="585" ht="205.5" customHeight="1" x14ac:dyDescent="0.3"/>
    <row r="586" ht="205.5" customHeight="1" x14ac:dyDescent="0.3"/>
    <row r="587" ht="205.5" customHeight="1" x14ac:dyDescent="0.3"/>
    <row r="588" ht="205.5" customHeight="1" x14ac:dyDescent="0.3"/>
    <row r="589" ht="205.5" customHeight="1" x14ac:dyDescent="0.3"/>
    <row r="590" ht="205.5" customHeight="1" x14ac:dyDescent="0.3"/>
    <row r="591" ht="205.5" customHeight="1" x14ac:dyDescent="0.3"/>
    <row r="592" ht="205.5" customHeight="1" x14ac:dyDescent="0.3"/>
    <row r="593" ht="205.5" customHeight="1" x14ac:dyDescent="0.3"/>
    <row r="594" ht="205.5" customHeight="1" x14ac:dyDescent="0.3"/>
    <row r="595" ht="205.5" customHeight="1" x14ac:dyDescent="0.3"/>
    <row r="596" ht="205.5" customHeight="1" x14ac:dyDescent="0.3"/>
    <row r="597" ht="205.5" customHeight="1" x14ac:dyDescent="0.3"/>
    <row r="598" ht="205.5" customHeight="1" x14ac:dyDescent="0.3"/>
    <row r="599" ht="205.5" customHeight="1" x14ac:dyDescent="0.3"/>
    <row r="600" ht="205.5" customHeight="1" x14ac:dyDescent="0.3"/>
    <row r="601" ht="205.5" customHeight="1" x14ac:dyDescent="0.3"/>
    <row r="602" ht="205.5" customHeight="1" x14ac:dyDescent="0.3"/>
    <row r="603" ht="205.5" customHeight="1" x14ac:dyDescent="0.3"/>
    <row r="604" ht="205.5" customHeight="1" x14ac:dyDescent="0.3"/>
    <row r="605" ht="205.5" customHeight="1" x14ac:dyDescent="0.3"/>
    <row r="606" ht="205.5" customHeight="1" x14ac:dyDescent="0.3"/>
    <row r="607" ht="205.5" customHeight="1" x14ac:dyDescent="0.3"/>
    <row r="608" ht="205.5" customHeight="1" x14ac:dyDescent="0.3"/>
    <row r="609" ht="205.5" customHeight="1" x14ac:dyDescent="0.3"/>
    <row r="610" ht="205.5" customHeight="1" x14ac:dyDescent="0.3"/>
    <row r="611" ht="205.5" customHeight="1" x14ac:dyDescent="0.3"/>
    <row r="612" ht="205.5" customHeight="1" x14ac:dyDescent="0.3"/>
    <row r="613" ht="205.5" customHeight="1" x14ac:dyDescent="0.3"/>
    <row r="614" ht="205.5" customHeight="1" x14ac:dyDescent="0.3"/>
    <row r="615" ht="205.5" customHeight="1" x14ac:dyDescent="0.3"/>
    <row r="616" ht="205.5" customHeight="1" x14ac:dyDescent="0.3"/>
    <row r="617" ht="205.5" customHeight="1" x14ac:dyDescent="0.3"/>
    <row r="618" ht="205.5" customHeight="1" x14ac:dyDescent="0.3"/>
    <row r="619" ht="205.5" customHeight="1" x14ac:dyDescent="0.3"/>
    <row r="620" ht="205.5" customHeight="1" x14ac:dyDescent="0.3"/>
    <row r="621" ht="205.5" customHeight="1" x14ac:dyDescent="0.3"/>
    <row r="622" ht="205.5" customHeight="1" x14ac:dyDescent="0.3"/>
    <row r="623" ht="205.5" customHeight="1" x14ac:dyDescent="0.3"/>
    <row r="624" ht="205.5" customHeight="1" x14ac:dyDescent="0.3"/>
    <row r="625" ht="205.5" customHeight="1" x14ac:dyDescent="0.3"/>
    <row r="626" ht="205.5" customHeight="1" x14ac:dyDescent="0.3"/>
    <row r="627" ht="205.5" customHeight="1" x14ac:dyDescent="0.3"/>
    <row r="628" ht="205.5" customHeight="1" x14ac:dyDescent="0.3"/>
    <row r="629" ht="205.5" customHeight="1" x14ac:dyDescent="0.3"/>
    <row r="630" ht="205.5" customHeight="1" x14ac:dyDescent="0.3"/>
    <row r="631" ht="205.5" customHeight="1" x14ac:dyDescent="0.3"/>
    <row r="632" ht="205.5" customHeight="1" x14ac:dyDescent="0.3"/>
    <row r="633" ht="205.5" customHeight="1" x14ac:dyDescent="0.3"/>
    <row r="634" ht="205.5" customHeight="1" x14ac:dyDescent="0.3"/>
    <row r="635" ht="205.5" customHeight="1" x14ac:dyDescent="0.3"/>
    <row r="636" ht="205.5" customHeight="1" x14ac:dyDescent="0.3"/>
    <row r="637" ht="205.5" customHeight="1" x14ac:dyDescent="0.3"/>
    <row r="638" ht="205.5" customHeight="1" x14ac:dyDescent="0.3"/>
    <row r="639" ht="205.5" customHeight="1" x14ac:dyDescent="0.3"/>
    <row r="640" ht="205.5" customHeight="1" x14ac:dyDescent="0.3"/>
    <row r="641" ht="205.5" customHeight="1" x14ac:dyDescent="0.3"/>
    <row r="642" ht="205.5" customHeight="1" x14ac:dyDescent="0.3"/>
    <row r="643" ht="205.5" customHeight="1" x14ac:dyDescent="0.3"/>
    <row r="644" ht="205.5" customHeight="1" x14ac:dyDescent="0.3"/>
    <row r="645" ht="205.5" customHeight="1" x14ac:dyDescent="0.3"/>
    <row r="646" ht="205.5" customHeight="1" x14ac:dyDescent="0.3"/>
    <row r="647" ht="205.5" customHeight="1" x14ac:dyDescent="0.3"/>
    <row r="648" ht="205.5" customHeight="1" x14ac:dyDescent="0.3"/>
    <row r="649" ht="205.5" customHeight="1" x14ac:dyDescent="0.3"/>
    <row r="650" ht="205.5" customHeight="1" x14ac:dyDescent="0.3"/>
    <row r="651" ht="205.5" customHeight="1" x14ac:dyDescent="0.3"/>
    <row r="652" ht="205.5" customHeight="1" x14ac:dyDescent="0.3"/>
    <row r="653" ht="205.5" customHeight="1" x14ac:dyDescent="0.3"/>
    <row r="654" ht="205.5" customHeight="1" x14ac:dyDescent="0.3"/>
    <row r="655" ht="205.5" customHeight="1" x14ac:dyDescent="0.3"/>
    <row r="656" ht="205.5" customHeight="1" x14ac:dyDescent="0.3"/>
    <row r="657" ht="205.5" customHeight="1" x14ac:dyDescent="0.3"/>
    <row r="658" ht="205.5" customHeight="1" x14ac:dyDescent="0.3"/>
    <row r="659" ht="205.5" customHeight="1" x14ac:dyDescent="0.3"/>
    <row r="660" ht="205.5" customHeight="1" x14ac:dyDescent="0.3"/>
    <row r="661" ht="205.5" customHeight="1" x14ac:dyDescent="0.3"/>
    <row r="662" ht="205.5" customHeight="1" x14ac:dyDescent="0.3"/>
    <row r="663" ht="205.5" customHeight="1" x14ac:dyDescent="0.3"/>
    <row r="664" ht="205.5" customHeight="1" x14ac:dyDescent="0.3"/>
    <row r="665" ht="205.5" customHeight="1" x14ac:dyDescent="0.3"/>
    <row r="666" ht="205.5" customHeight="1" x14ac:dyDescent="0.3"/>
    <row r="667" ht="205.5" customHeight="1" x14ac:dyDescent="0.3"/>
    <row r="668" ht="205.5" customHeight="1" x14ac:dyDescent="0.3"/>
    <row r="669" ht="205.5" customHeight="1" x14ac:dyDescent="0.3"/>
    <row r="670" ht="205.5" customHeight="1" x14ac:dyDescent="0.3"/>
    <row r="671" ht="205.5" customHeight="1" x14ac:dyDescent="0.3"/>
    <row r="672" ht="205.5" customHeight="1" x14ac:dyDescent="0.3"/>
    <row r="673" ht="205.5" customHeight="1" x14ac:dyDescent="0.3"/>
    <row r="674" ht="205.5" customHeight="1" x14ac:dyDescent="0.3"/>
    <row r="675" ht="205.5" customHeight="1" x14ac:dyDescent="0.3"/>
    <row r="676" ht="205.5" customHeight="1" x14ac:dyDescent="0.3"/>
    <row r="677" ht="205.5" customHeight="1" x14ac:dyDescent="0.3"/>
    <row r="678" ht="205.5" customHeight="1" x14ac:dyDescent="0.3"/>
    <row r="679" ht="205.5" customHeight="1" x14ac:dyDescent="0.3"/>
    <row r="680" ht="205.5" customHeight="1" x14ac:dyDescent="0.3"/>
    <row r="681" ht="205.5" customHeight="1" x14ac:dyDescent="0.3"/>
    <row r="682" ht="205.5" customHeight="1" x14ac:dyDescent="0.3"/>
    <row r="683" ht="205.5" customHeight="1" x14ac:dyDescent="0.3"/>
    <row r="684" ht="205.5" customHeight="1" x14ac:dyDescent="0.3"/>
    <row r="685" ht="205.5" customHeight="1" x14ac:dyDescent="0.3"/>
    <row r="686" ht="205.5" customHeight="1" x14ac:dyDescent="0.3"/>
    <row r="687" ht="205.5" customHeight="1" x14ac:dyDescent="0.3"/>
    <row r="688" ht="205.5" customHeight="1" x14ac:dyDescent="0.3"/>
    <row r="689" ht="205.5" customHeight="1" x14ac:dyDescent="0.3"/>
    <row r="690" ht="205.5" customHeight="1" x14ac:dyDescent="0.3"/>
    <row r="691" ht="205.5" customHeight="1" x14ac:dyDescent="0.3"/>
    <row r="692" ht="205.5" customHeight="1" x14ac:dyDescent="0.3"/>
    <row r="693" ht="205.5" customHeight="1" x14ac:dyDescent="0.3"/>
    <row r="694" ht="205.5" customHeight="1" x14ac:dyDescent="0.3"/>
    <row r="695" ht="205.5" customHeight="1" x14ac:dyDescent="0.3"/>
    <row r="696" ht="205.5" customHeight="1" x14ac:dyDescent="0.3"/>
    <row r="697" ht="205.5" customHeight="1" x14ac:dyDescent="0.3"/>
    <row r="698" ht="205.5" customHeight="1" x14ac:dyDescent="0.3"/>
    <row r="699" ht="205.5" customHeight="1" x14ac:dyDescent="0.3"/>
    <row r="700" ht="205.5" customHeight="1" x14ac:dyDescent="0.3"/>
    <row r="701" ht="205.5" customHeight="1" x14ac:dyDescent="0.3"/>
    <row r="702" ht="205.5" customHeight="1" x14ac:dyDescent="0.3"/>
    <row r="703" ht="205.5" customHeight="1" x14ac:dyDescent="0.3"/>
    <row r="704" ht="205.5" customHeight="1" x14ac:dyDescent="0.3"/>
    <row r="705" ht="205.5" customHeight="1" x14ac:dyDescent="0.3"/>
    <row r="706" ht="205.5" customHeight="1" x14ac:dyDescent="0.3"/>
    <row r="707" ht="205.5" customHeight="1" x14ac:dyDescent="0.3"/>
    <row r="708" ht="205.5" customHeight="1" x14ac:dyDescent="0.3"/>
    <row r="709" ht="205.5" customHeight="1" x14ac:dyDescent="0.3"/>
    <row r="710" ht="205.5" customHeight="1" x14ac:dyDescent="0.3"/>
    <row r="711" ht="205.5" customHeight="1" x14ac:dyDescent="0.3"/>
    <row r="712" ht="205.5" customHeight="1" x14ac:dyDescent="0.3"/>
    <row r="713" ht="205.5" customHeight="1" x14ac:dyDescent="0.3"/>
    <row r="714" ht="205.5" customHeight="1" x14ac:dyDescent="0.3"/>
    <row r="715" ht="205.5" customHeight="1" x14ac:dyDescent="0.3"/>
    <row r="716" ht="205.5" customHeight="1" x14ac:dyDescent="0.3"/>
    <row r="717" ht="205.5" customHeight="1" x14ac:dyDescent="0.3"/>
    <row r="718" ht="205.5" customHeight="1" x14ac:dyDescent="0.3"/>
    <row r="719" ht="205.5" customHeight="1" x14ac:dyDescent="0.3"/>
    <row r="720" ht="205.5" customHeight="1" x14ac:dyDescent="0.3"/>
    <row r="721" ht="205.5" customHeight="1" x14ac:dyDescent="0.3"/>
    <row r="722" ht="205.5" customHeight="1" x14ac:dyDescent="0.3"/>
    <row r="723" ht="205.5" customHeight="1" x14ac:dyDescent="0.3"/>
    <row r="724" ht="205.5" customHeight="1" x14ac:dyDescent="0.3"/>
    <row r="725" ht="205.5" customHeight="1" x14ac:dyDescent="0.3"/>
    <row r="726" ht="205.5" customHeight="1" x14ac:dyDescent="0.3"/>
    <row r="727" ht="205.5" customHeight="1" x14ac:dyDescent="0.3"/>
    <row r="728" ht="205.5" customHeight="1" x14ac:dyDescent="0.3"/>
    <row r="729" ht="205.5" customHeight="1" x14ac:dyDescent="0.3"/>
    <row r="730" ht="205.5" customHeight="1" x14ac:dyDescent="0.3"/>
    <row r="731" ht="205.5" customHeight="1" x14ac:dyDescent="0.3"/>
    <row r="732" ht="205.5" customHeight="1" x14ac:dyDescent="0.3"/>
    <row r="733" ht="205.5" customHeight="1" x14ac:dyDescent="0.3"/>
    <row r="734" ht="205.5" customHeight="1" x14ac:dyDescent="0.3"/>
    <row r="735" ht="205.5" customHeight="1" x14ac:dyDescent="0.3"/>
    <row r="736" ht="205.5" customHeight="1" x14ac:dyDescent="0.3"/>
    <row r="737" ht="205.5" customHeight="1" x14ac:dyDescent="0.3"/>
    <row r="738" ht="205.5" customHeight="1" x14ac:dyDescent="0.3"/>
    <row r="739" ht="205.5" customHeight="1" x14ac:dyDescent="0.3"/>
    <row r="740" ht="205.5" customHeight="1" x14ac:dyDescent="0.3"/>
    <row r="741" ht="205.5" customHeight="1" x14ac:dyDescent="0.3"/>
    <row r="742" ht="205.5" customHeight="1" x14ac:dyDescent="0.3"/>
    <row r="743" ht="205.5" customHeight="1" x14ac:dyDescent="0.3"/>
    <row r="744" ht="205.5" customHeight="1" x14ac:dyDescent="0.3"/>
    <row r="745" ht="205.5" customHeight="1" x14ac:dyDescent="0.3"/>
    <row r="746" ht="205.5" customHeight="1" x14ac:dyDescent="0.3"/>
    <row r="747" ht="205.5" customHeight="1" x14ac:dyDescent="0.3"/>
    <row r="748" ht="205.5" customHeight="1" x14ac:dyDescent="0.3"/>
    <row r="749" ht="205.5" customHeight="1" x14ac:dyDescent="0.3"/>
    <row r="750" ht="205.5" customHeight="1" x14ac:dyDescent="0.3"/>
    <row r="751" ht="205.5" customHeight="1" x14ac:dyDescent="0.3"/>
    <row r="752" ht="205.5" customHeight="1" x14ac:dyDescent="0.3"/>
    <row r="753" ht="205.5" customHeight="1" x14ac:dyDescent="0.3"/>
    <row r="754" ht="205.5" customHeight="1" x14ac:dyDescent="0.3"/>
    <row r="755" ht="205.5" customHeight="1" x14ac:dyDescent="0.3"/>
    <row r="756" ht="205.5" customHeight="1" x14ac:dyDescent="0.3"/>
    <row r="757" ht="205.5" customHeight="1" x14ac:dyDescent="0.3"/>
    <row r="758" ht="205.5" customHeight="1" x14ac:dyDescent="0.3"/>
    <row r="759" ht="205.5" customHeight="1" x14ac:dyDescent="0.3"/>
    <row r="760" ht="205.5" customHeight="1" x14ac:dyDescent="0.3"/>
    <row r="761" ht="205.5" customHeight="1" x14ac:dyDescent="0.3"/>
    <row r="762" ht="205.5" customHeight="1" x14ac:dyDescent="0.3"/>
    <row r="763" ht="205.5" customHeight="1" x14ac:dyDescent="0.3"/>
    <row r="764" ht="205.5" customHeight="1" x14ac:dyDescent="0.3"/>
    <row r="765" ht="205.5" customHeight="1" x14ac:dyDescent="0.3"/>
    <row r="766" ht="205.5" customHeight="1" x14ac:dyDescent="0.3"/>
    <row r="767" ht="205.5" customHeight="1" x14ac:dyDescent="0.3"/>
    <row r="768" ht="205.5" customHeight="1" x14ac:dyDescent="0.3"/>
    <row r="769" ht="205.5" customHeight="1" x14ac:dyDescent="0.3"/>
    <row r="770" ht="205.5" customHeight="1" x14ac:dyDescent="0.3"/>
    <row r="771" ht="205.5" customHeight="1" x14ac:dyDescent="0.3"/>
    <row r="772" ht="205.5" customHeight="1" x14ac:dyDescent="0.3"/>
    <row r="773" ht="205.5" customHeight="1" x14ac:dyDescent="0.3"/>
    <row r="774" ht="205.5" customHeight="1" x14ac:dyDescent="0.3"/>
    <row r="775" ht="205.5" customHeight="1" x14ac:dyDescent="0.3"/>
    <row r="776" ht="205.5" customHeight="1" x14ac:dyDescent="0.3"/>
    <row r="777" ht="205.5" customHeight="1" x14ac:dyDescent="0.3"/>
    <row r="778" ht="205.5" customHeight="1" x14ac:dyDescent="0.3"/>
    <row r="779" ht="205.5" customHeight="1" x14ac:dyDescent="0.3"/>
    <row r="780" ht="205.5" customHeight="1" x14ac:dyDescent="0.3"/>
    <row r="781" ht="205.5" customHeight="1" x14ac:dyDescent="0.3"/>
    <row r="782" ht="205.5" customHeight="1" x14ac:dyDescent="0.3"/>
    <row r="783" ht="205.5" customHeight="1" x14ac:dyDescent="0.3"/>
    <row r="784" ht="205.5" customHeight="1" x14ac:dyDescent="0.3"/>
    <row r="785" ht="205.5" customHeight="1" x14ac:dyDescent="0.3"/>
    <row r="786" ht="205.5" customHeight="1" x14ac:dyDescent="0.3"/>
    <row r="787" ht="205.5" customHeight="1" x14ac:dyDescent="0.3"/>
    <row r="788" ht="205.5" customHeight="1" x14ac:dyDescent="0.3"/>
    <row r="789" ht="205.5" customHeight="1" x14ac:dyDescent="0.3"/>
    <row r="790" ht="205.5" customHeight="1" x14ac:dyDescent="0.3"/>
    <row r="791" ht="205.5" customHeight="1" x14ac:dyDescent="0.3"/>
    <row r="792" ht="205.5" customHeight="1" x14ac:dyDescent="0.3"/>
    <row r="793" ht="205.5" customHeight="1" x14ac:dyDescent="0.3"/>
    <row r="794" ht="205.5" customHeight="1" x14ac:dyDescent="0.3"/>
    <row r="795" ht="205.5" customHeight="1" x14ac:dyDescent="0.3"/>
    <row r="796" ht="205.5" customHeight="1" x14ac:dyDescent="0.3"/>
    <row r="797" ht="205.5" customHeight="1" x14ac:dyDescent="0.3"/>
    <row r="798" ht="205.5" customHeight="1" x14ac:dyDescent="0.3"/>
    <row r="799" ht="205.5" customHeight="1" x14ac:dyDescent="0.3"/>
    <row r="800" ht="205.5" customHeight="1" x14ac:dyDescent="0.3"/>
    <row r="801" ht="205.5" customHeight="1" x14ac:dyDescent="0.3"/>
    <row r="802" ht="205.5" customHeight="1" x14ac:dyDescent="0.3"/>
    <row r="803" ht="205.5" customHeight="1" x14ac:dyDescent="0.3"/>
    <row r="804" ht="205.5" customHeight="1" x14ac:dyDescent="0.3"/>
    <row r="805" ht="205.5" customHeight="1" x14ac:dyDescent="0.3"/>
    <row r="806" ht="205.5" customHeight="1" x14ac:dyDescent="0.3"/>
    <row r="807" ht="205.5" customHeight="1" x14ac:dyDescent="0.3"/>
    <row r="808" ht="205.5" customHeight="1" x14ac:dyDescent="0.3"/>
    <row r="809" ht="205.5" customHeight="1" x14ac:dyDescent="0.3"/>
    <row r="810" ht="205.5" customHeight="1" x14ac:dyDescent="0.3"/>
    <row r="811" ht="205.5" customHeight="1" x14ac:dyDescent="0.3"/>
    <row r="812" ht="205.5" customHeight="1" x14ac:dyDescent="0.3"/>
    <row r="813" ht="205.5" customHeight="1" x14ac:dyDescent="0.3"/>
    <row r="814" ht="205.5" customHeight="1" x14ac:dyDescent="0.3"/>
    <row r="815" ht="205.5" customHeight="1" x14ac:dyDescent="0.3"/>
    <row r="816" ht="205.5" customHeight="1" x14ac:dyDescent="0.3"/>
    <row r="817" ht="205.5" customHeight="1" x14ac:dyDescent="0.3"/>
    <row r="818" ht="205.5" customHeight="1" x14ac:dyDescent="0.3"/>
    <row r="819" ht="205.5" customHeight="1" x14ac:dyDescent="0.3"/>
    <row r="820" ht="205.5" customHeight="1" x14ac:dyDescent="0.3"/>
    <row r="821" ht="205.5" customHeight="1" x14ac:dyDescent="0.3"/>
    <row r="822" ht="205.5" customHeight="1" x14ac:dyDescent="0.3"/>
    <row r="823" ht="205.5" customHeight="1" x14ac:dyDescent="0.3"/>
    <row r="824" ht="205.5" customHeight="1" x14ac:dyDescent="0.3"/>
    <row r="825" ht="205.5" customHeight="1" x14ac:dyDescent="0.3"/>
    <row r="826" ht="205.5" customHeight="1" x14ac:dyDescent="0.3"/>
    <row r="827" ht="205.5" customHeight="1" x14ac:dyDescent="0.3"/>
    <row r="828" ht="205.5" customHeight="1" x14ac:dyDescent="0.3"/>
    <row r="829" ht="205.5" customHeight="1" x14ac:dyDescent="0.3"/>
    <row r="830" ht="205.5" customHeight="1" x14ac:dyDescent="0.3"/>
    <row r="831" ht="205.5" customHeight="1" x14ac:dyDescent="0.3"/>
    <row r="832" ht="205.5" customHeight="1" x14ac:dyDescent="0.3"/>
    <row r="833" ht="205.5" customHeight="1" x14ac:dyDescent="0.3"/>
    <row r="834" ht="205.5" customHeight="1" x14ac:dyDescent="0.3"/>
    <row r="835" ht="205.5" customHeight="1" x14ac:dyDescent="0.3"/>
    <row r="836" ht="205.5" customHeight="1" x14ac:dyDescent="0.3"/>
    <row r="837" ht="205.5" customHeight="1" x14ac:dyDescent="0.3"/>
    <row r="838" ht="205.5" customHeight="1" x14ac:dyDescent="0.3"/>
    <row r="839" ht="205.5" customHeight="1" x14ac:dyDescent="0.3"/>
    <row r="840" ht="205.5" customHeight="1" x14ac:dyDescent="0.3"/>
    <row r="841" ht="205.5" customHeight="1" x14ac:dyDescent="0.3"/>
    <row r="842" ht="205.5" customHeight="1" x14ac:dyDescent="0.3"/>
    <row r="843" ht="205.5" customHeight="1" x14ac:dyDescent="0.3"/>
    <row r="844" ht="205.5" customHeight="1" x14ac:dyDescent="0.3"/>
    <row r="845" ht="205.5" customHeight="1" x14ac:dyDescent="0.3"/>
    <row r="846" ht="205.5" customHeight="1" x14ac:dyDescent="0.3"/>
    <row r="847" ht="205.5" customHeight="1" x14ac:dyDescent="0.3"/>
    <row r="848" ht="205.5" customHeight="1" x14ac:dyDescent="0.3"/>
    <row r="849" ht="205.5" customHeight="1" x14ac:dyDescent="0.3"/>
    <row r="850" ht="205.5" customHeight="1" x14ac:dyDescent="0.3"/>
    <row r="851" ht="205.5" customHeight="1" x14ac:dyDescent="0.3"/>
    <row r="852" ht="205.5" customHeight="1" x14ac:dyDescent="0.3"/>
    <row r="853" ht="205.5" customHeight="1" x14ac:dyDescent="0.3"/>
    <row r="854" ht="205.5" customHeight="1" x14ac:dyDescent="0.3"/>
    <row r="855" ht="205.5" customHeight="1" x14ac:dyDescent="0.3"/>
    <row r="856" ht="205.5" customHeight="1" x14ac:dyDescent="0.3"/>
    <row r="857" ht="205.5" customHeight="1" x14ac:dyDescent="0.3"/>
    <row r="858" ht="205.5" customHeight="1" x14ac:dyDescent="0.3"/>
    <row r="859" ht="205.5" customHeight="1" x14ac:dyDescent="0.3"/>
    <row r="860" ht="205.5" customHeight="1" x14ac:dyDescent="0.3"/>
    <row r="861" ht="205.5" customHeight="1" x14ac:dyDescent="0.3"/>
    <row r="862" ht="205.5" customHeight="1" x14ac:dyDescent="0.3"/>
    <row r="863" ht="205.5" customHeight="1" x14ac:dyDescent="0.3"/>
    <row r="864" ht="205.5" customHeight="1" x14ac:dyDescent="0.3"/>
    <row r="865" ht="205.5" customHeight="1" x14ac:dyDescent="0.3"/>
    <row r="866" ht="205.5" customHeight="1" x14ac:dyDescent="0.3"/>
    <row r="867" ht="205.5" customHeight="1" x14ac:dyDescent="0.3"/>
    <row r="868" ht="205.5" customHeight="1" x14ac:dyDescent="0.3"/>
    <row r="869" ht="205.5" customHeight="1" x14ac:dyDescent="0.3"/>
    <row r="870" ht="205.5" customHeight="1" x14ac:dyDescent="0.3"/>
    <row r="871" ht="205.5" customHeight="1" x14ac:dyDescent="0.3"/>
    <row r="872" ht="205.5" customHeight="1" x14ac:dyDescent="0.3"/>
    <row r="873" ht="205.5" customHeight="1" x14ac:dyDescent="0.3"/>
    <row r="874" ht="205.5" customHeight="1" x14ac:dyDescent="0.3"/>
    <row r="875" ht="205.5" customHeight="1" x14ac:dyDescent="0.3"/>
    <row r="876" ht="205.5" customHeight="1" x14ac:dyDescent="0.3"/>
    <row r="877" ht="205.5" customHeight="1" x14ac:dyDescent="0.3"/>
    <row r="878" ht="205.5" customHeight="1" x14ac:dyDescent="0.3"/>
    <row r="879" ht="205.5" customHeight="1" x14ac:dyDescent="0.3"/>
    <row r="880" ht="205.5" customHeight="1" x14ac:dyDescent="0.3"/>
    <row r="881" ht="205.5" customHeight="1" x14ac:dyDescent="0.3"/>
    <row r="882" ht="205.5" customHeight="1" x14ac:dyDescent="0.3"/>
    <row r="883" ht="205.5" customHeight="1" x14ac:dyDescent="0.3"/>
    <row r="884" ht="205.5" customHeight="1" x14ac:dyDescent="0.3"/>
    <row r="885" ht="205.5" customHeight="1" x14ac:dyDescent="0.3"/>
    <row r="886" ht="205.5" customHeight="1" x14ac:dyDescent="0.3"/>
    <row r="887" ht="205.5" customHeight="1" x14ac:dyDescent="0.3"/>
    <row r="888" ht="205.5" customHeight="1" x14ac:dyDescent="0.3"/>
    <row r="889" ht="205.5" customHeight="1" x14ac:dyDescent="0.3"/>
    <row r="890" ht="205.5" customHeight="1" x14ac:dyDescent="0.3"/>
    <row r="891" ht="205.5" customHeight="1" x14ac:dyDescent="0.3"/>
    <row r="892" ht="205.5" customHeight="1" x14ac:dyDescent="0.3"/>
    <row r="893" ht="205.5" customHeight="1" x14ac:dyDescent="0.3"/>
    <row r="894" ht="205.5" customHeight="1" x14ac:dyDescent="0.3"/>
    <row r="895" ht="205.5" customHeight="1" x14ac:dyDescent="0.3"/>
    <row r="896" ht="205.5" customHeight="1" x14ac:dyDescent="0.3"/>
    <row r="897" ht="205.5" customHeight="1" x14ac:dyDescent="0.3"/>
    <row r="898" ht="205.5" customHeight="1" x14ac:dyDescent="0.3"/>
    <row r="899" ht="205.5" customHeight="1" x14ac:dyDescent="0.3"/>
    <row r="900" ht="205.5" customHeight="1" x14ac:dyDescent="0.3"/>
    <row r="901" ht="205.5" customHeight="1" x14ac:dyDescent="0.3"/>
    <row r="902" ht="205.5" customHeight="1" x14ac:dyDescent="0.3"/>
    <row r="903" ht="205.5" customHeight="1" x14ac:dyDescent="0.3"/>
    <row r="904" ht="205.5" customHeight="1" x14ac:dyDescent="0.3"/>
    <row r="905" ht="205.5" customHeight="1" x14ac:dyDescent="0.3"/>
    <row r="906" ht="205.5" customHeight="1" x14ac:dyDescent="0.3"/>
    <row r="907" ht="205.5" customHeight="1" x14ac:dyDescent="0.3"/>
    <row r="908" ht="205.5" customHeight="1" x14ac:dyDescent="0.3"/>
    <row r="909" ht="205.5" customHeight="1" x14ac:dyDescent="0.3"/>
    <row r="910" ht="205.5" customHeight="1" x14ac:dyDescent="0.3"/>
    <row r="911" ht="205.5" customHeight="1" x14ac:dyDescent="0.3"/>
    <row r="912" ht="205.5" customHeight="1" x14ac:dyDescent="0.3"/>
    <row r="913" ht="205.5" customHeight="1" x14ac:dyDescent="0.3"/>
    <row r="914" ht="205.5" customHeight="1" x14ac:dyDescent="0.3"/>
    <row r="915" ht="205.5" customHeight="1" x14ac:dyDescent="0.3"/>
    <row r="916" ht="205.5" customHeight="1" x14ac:dyDescent="0.3"/>
    <row r="917" ht="205.5" customHeight="1" x14ac:dyDescent="0.3"/>
    <row r="918" ht="205.5" customHeight="1" x14ac:dyDescent="0.3"/>
    <row r="919" ht="205.5" customHeight="1" x14ac:dyDescent="0.3"/>
    <row r="920" ht="205.5" customHeight="1" x14ac:dyDescent="0.3"/>
    <row r="921" ht="205.5" customHeight="1" x14ac:dyDescent="0.3"/>
    <row r="922" ht="205.5" customHeight="1" x14ac:dyDescent="0.3"/>
    <row r="923" ht="205.5" customHeight="1" x14ac:dyDescent="0.3"/>
    <row r="924" ht="205.5" customHeight="1" x14ac:dyDescent="0.3"/>
    <row r="925" ht="205.5" customHeight="1" x14ac:dyDescent="0.3"/>
    <row r="926" ht="205.5" customHeight="1" x14ac:dyDescent="0.3"/>
    <row r="927" ht="205.5" customHeight="1" x14ac:dyDescent="0.3"/>
    <row r="928" ht="205.5" customHeight="1" x14ac:dyDescent="0.3"/>
    <row r="929" ht="205.5" customHeight="1" x14ac:dyDescent="0.3"/>
    <row r="930" ht="205.5" customHeight="1" x14ac:dyDescent="0.3"/>
    <row r="931" ht="205.5" customHeight="1" x14ac:dyDescent="0.3"/>
    <row r="932" ht="205.5" customHeight="1" x14ac:dyDescent="0.3"/>
    <row r="933" ht="205.5" customHeight="1" x14ac:dyDescent="0.3"/>
    <row r="934" ht="205.5" customHeight="1" x14ac:dyDescent="0.3"/>
    <row r="935" ht="205.5" customHeight="1" x14ac:dyDescent="0.3"/>
    <row r="936" ht="205.5" customHeight="1" x14ac:dyDescent="0.3"/>
    <row r="937" ht="205.5" customHeight="1" x14ac:dyDescent="0.3"/>
    <row r="938" ht="205.5" customHeight="1" x14ac:dyDescent="0.3"/>
    <row r="939" ht="205.5" customHeight="1" x14ac:dyDescent="0.3"/>
    <row r="940" ht="205.5" customHeight="1" x14ac:dyDescent="0.3"/>
    <row r="941" ht="205.5" customHeight="1" x14ac:dyDescent="0.3"/>
    <row r="942" ht="205.5" customHeight="1" x14ac:dyDescent="0.3"/>
    <row r="943" ht="205.5" customHeight="1" x14ac:dyDescent="0.3"/>
    <row r="944" ht="205.5" customHeight="1" x14ac:dyDescent="0.3"/>
    <row r="945" ht="205.5" customHeight="1" x14ac:dyDescent="0.3"/>
    <row r="946" ht="205.5" customHeight="1" x14ac:dyDescent="0.3"/>
    <row r="947" ht="205.5" customHeight="1" x14ac:dyDescent="0.3"/>
    <row r="948" ht="205.5" customHeight="1" x14ac:dyDescent="0.3"/>
    <row r="949" ht="205.5" customHeight="1" x14ac:dyDescent="0.3"/>
    <row r="950" ht="205.5" customHeight="1" x14ac:dyDescent="0.3"/>
    <row r="951" ht="205.5" customHeight="1" x14ac:dyDescent="0.3"/>
    <row r="952" ht="205.5" customHeight="1" x14ac:dyDescent="0.3"/>
    <row r="953" ht="205.5" customHeight="1" x14ac:dyDescent="0.3"/>
    <row r="954" ht="205.5" customHeight="1" x14ac:dyDescent="0.3"/>
    <row r="955" ht="205.5" customHeight="1" x14ac:dyDescent="0.3"/>
    <row r="956" ht="205.5" customHeight="1" x14ac:dyDescent="0.3"/>
    <row r="957" ht="205.5" customHeight="1" x14ac:dyDescent="0.3"/>
    <row r="958" ht="205.5" customHeight="1" x14ac:dyDescent="0.3"/>
    <row r="959" ht="205.5" customHeight="1" x14ac:dyDescent="0.3"/>
    <row r="960" ht="205.5" customHeight="1" x14ac:dyDescent="0.3"/>
    <row r="961" ht="205.5" customHeight="1" x14ac:dyDescent="0.3"/>
    <row r="962" ht="205.5" customHeight="1" x14ac:dyDescent="0.3"/>
    <row r="963" ht="205.5" customHeight="1" x14ac:dyDescent="0.3"/>
    <row r="964" ht="205.5" customHeight="1" x14ac:dyDescent="0.3"/>
    <row r="965" ht="205.5" customHeight="1" x14ac:dyDescent="0.3"/>
    <row r="966" ht="205.5" customHeight="1" x14ac:dyDescent="0.3"/>
    <row r="967" ht="205.5" customHeight="1" x14ac:dyDescent="0.3"/>
    <row r="968" ht="205.5" customHeight="1" x14ac:dyDescent="0.3"/>
    <row r="969" ht="205.5" customHeight="1" x14ac:dyDescent="0.3"/>
    <row r="970" ht="205.5" customHeight="1" x14ac:dyDescent="0.3"/>
    <row r="971" ht="205.5" customHeight="1" x14ac:dyDescent="0.3"/>
    <row r="972" ht="205.5" customHeight="1" x14ac:dyDescent="0.3"/>
    <row r="973" ht="205.5" customHeight="1" x14ac:dyDescent="0.3"/>
    <row r="974" ht="205.5" customHeight="1" x14ac:dyDescent="0.3"/>
    <row r="975" ht="205.5" customHeight="1" x14ac:dyDescent="0.3"/>
    <row r="976" ht="205.5" customHeight="1" x14ac:dyDescent="0.3"/>
    <row r="977" ht="205.5" customHeight="1" x14ac:dyDescent="0.3"/>
    <row r="978" ht="205.5" customHeight="1" x14ac:dyDescent="0.3"/>
    <row r="979" ht="205.5" customHeight="1" x14ac:dyDescent="0.3"/>
    <row r="980" ht="205.5" customHeight="1" x14ac:dyDescent="0.3"/>
    <row r="981" ht="205.5" customHeight="1" x14ac:dyDescent="0.3"/>
    <row r="982" ht="205.5" customHeight="1" x14ac:dyDescent="0.3"/>
    <row r="983" ht="205.5" customHeight="1" x14ac:dyDescent="0.3"/>
    <row r="984" ht="205.5" customHeight="1" x14ac:dyDescent="0.3"/>
    <row r="985" ht="205.5" customHeight="1" x14ac:dyDescent="0.3"/>
    <row r="986" ht="205.5" customHeight="1" x14ac:dyDescent="0.3"/>
    <row r="987" ht="205.5" customHeight="1" x14ac:dyDescent="0.3"/>
    <row r="988" ht="205.5" customHeight="1" x14ac:dyDescent="0.3"/>
    <row r="989" ht="205.5" customHeight="1" x14ac:dyDescent="0.3"/>
    <row r="990" ht="205.5" customHeight="1" x14ac:dyDescent="0.3"/>
    <row r="991" ht="205.5" customHeight="1" x14ac:dyDescent="0.3"/>
    <row r="992" ht="205.5" customHeight="1" x14ac:dyDescent="0.3"/>
    <row r="993" ht="205.5" customHeight="1" x14ac:dyDescent="0.3"/>
    <row r="994" ht="205.5" customHeight="1" x14ac:dyDescent="0.3"/>
    <row r="995" ht="205.5" customHeight="1" x14ac:dyDescent="0.3"/>
    <row r="996" ht="205.5" customHeight="1" x14ac:dyDescent="0.3"/>
    <row r="997" ht="205.5" customHeight="1" x14ac:dyDescent="0.3"/>
    <row r="998" ht="205.5" customHeight="1" x14ac:dyDescent="0.3"/>
    <row r="999" ht="205.5" customHeight="1" x14ac:dyDescent="0.3"/>
    <row r="1000" ht="205.5" customHeight="1" x14ac:dyDescent="0.3"/>
    <row r="1001" ht="205.5" customHeight="1" x14ac:dyDescent="0.3"/>
    <row r="1002" ht="205.5" customHeight="1" x14ac:dyDescent="0.3"/>
    <row r="1003" ht="205.5" customHeight="1" x14ac:dyDescent="0.3"/>
    <row r="1004" ht="205.5" customHeight="1" x14ac:dyDescent="0.3"/>
    <row r="1005" ht="205.5" customHeight="1" x14ac:dyDescent="0.3"/>
    <row r="1006" ht="205.5" customHeight="1" x14ac:dyDescent="0.3"/>
    <row r="1007" ht="205.5" customHeight="1" x14ac:dyDescent="0.3"/>
    <row r="1008" ht="205.5" customHeight="1" x14ac:dyDescent="0.3"/>
    <row r="1009" ht="205.5" customHeight="1" x14ac:dyDescent="0.3"/>
    <row r="1010" ht="205.5" customHeight="1" x14ac:dyDescent="0.3"/>
    <row r="1011" ht="205.5" customHeight="1" x14ac:dyDescent="0.3"/>
    <row r="1012" ht="205.5" customHeight="1" x14ac:dyDescent="0.3"/>
    <row r="1013" ht="205.5" customHeight="1" x14ac:dyDescent="0.3"/>
    <row r="1014" ht="205.5" customHeight="1" x14ac:dyDescent="0.3"/>
    <row r="1015" ht="205.5" customHeight="1" x14ac:dyDescent="0.3"/>
    <row r="1016" ht="205.5" customHeight="1" x14ac:dyDescent="0.3"/>
    <row r="1017" ht="205.5" customHeight="1" x14ac:dyDescent="0.3"/>
    <row r="1018" ht="205.5" customHeight="1" x14ac:dyDescent="0.3"/>
    <row r="1019" ht="205.5" customHeight="1" x14ac:dyDescent="0.3"/>
    <row r="1020" ht="205.5" customHeight="1" x14ac:dyDescent="0.3"/>
    <row r="1021" ht="205.5" customHeight="1" x14ac:dyDescent="0.3"/>
    <row r="1022" ht="205.5" customHeight="1" x14ac:dyDescent="0.3"/>
    <row r="1023" ht="205.5" customHeight="1" x14ac:dyDescent="0.3"/>
    <row r="1024" ht="205.5" customHeight="1" x14ac:dyDescent="0.3"/>
    <row r="1025" ht="205.5" customHeight="1" x14ac:dyDescent="0.3"/>
    <row r="1026" ht="205.5" customHeight="1" x14ac:dyDescent="0.3"/>
    <row r="1027" ht="205.5" customHeight="1" x14ac:dyDescent="0.3"/>
    <row r="1028" ht="205.5" customHeight="1" x14ac:dyDescent="0.3"/>
    <row r="1029" ht="205.5" customHeight="1" x14ac:dyDescent="0.3"/>
    <row r="1030" ht="205.5" customHeight="1" x14ac:dyDescent="0.3"/>
    <row r="1031" ht="205.5" customHeight="1" x14ac:dyDescent="0.3"/>
    <row r="1032" ht="205.5" customHeight="1" x14ac:dyDescent="0.3"/>
    <row r="1033" ht="205.5" customHeight="1" x14ac:dyDescent="0.3"/>
    <row r="1034" ht="205.5" customHeight="1" x14ac:dyDescent="0.3"/>
    <row r="1035" ht="205.5" customHeight="1" x14ac:dyDescent="0.3"/>
    <row r="1036" ht="205.5" customHeight="1" x14ac:dyDescent="0.3"/>
    <row r="1037" ht="205.5" customHeight="1" x14ac:dyDescent="0.3"/>
    <row r="1038" ht="205.5" customHeight="1" x14ac:dyDescent="0.3"/>
    <row r="1039" ht="205.5" customHeight="1" x14ac:dyDescent="0.3"/>
    <row r="1040" ht="205.5" customHeight="1" x14ac:dyDescent="0.3"/>
    <row r="1041" ht="205.5" customHeight="1" x14ac:dyDescent="0.3"/>
    <row r="1042" ht="205.5" customHeight="1" x14ac:dyDescent="0.3"/>
    <row r="1043" ht="205.5" customHeight="1" x14ac:dyDescent="0.3"/>
    <row r="1044" ht="205.5" customHeight="1" x14ac:dyDescent="0.3"/>
    <row r="1045" ht="205.5" customHeight="1" x14ac:dyDescent="0.3"/>
    <row r="1046" ht="205.5" customHeight="1" x14ac:dyDescent="0.3"/>
    <row r="1047" ht="205.5" customHeight="1" x14ac:dyDescent="0.3"/>
    <row r="1048" ht="205.5" customHeight="1" x14ac:dyDescent="0.3"/>
    <row r="1049" ht="205.5" customHeight="1" x14ac:dyDescent="0.3"/>
    <row r="1050" ht="205.5" customHeight="1" x14ac:dyDescent="0.3"/>
    <row r="1051" ht="205.5" customHeight="1" x14ac:dyDescent="0.3"/>
    <row r="1052" ht="205.5" customHeight="1" x14ac:dyDescent="0.3"/>
    <row r="1053" ht="205.5" customHeight="1" x14ac:dyDescent="0.3"/>
    <row r="1054" ht="205.5" customHeight="1" x14ac:dyDescent="0.3"/>
    <row r="1055" ht="205.5" customHeight="1" x14ac:dyDescent="0.3"/>
    <row r="1056" ht="205.5" customHeight="1" x14ac:dyDescent="0.3"/>
    <row r="1057" ht="205.5" customHeight="1" x14ac:dyDescent="0.3"/>
    <row r="1058" ht="205.5" customHeight="1" x14ac:dyDescent="0.3"/>
    <row r="1059" ht="205.5" customHeight="1" x14ac:dyDescent="0.3"/>
    <row r="1060" ht="205.5" customHeight="1" x14ac:dyDescent="0.3"/>
    <row r="1061" ht="205.5" customHeight="1" x14ac:dyDescent="0.3"/>
    <row r="1062" ht="205.5" customHeight="1" x14ac:dyDescent="0.3"/>
    <row r="1063" ht="205.5" customHeight="1" x14ac:dyDescent="0.3"/>
    <row r="1064" ht="205.5" customHeight="1" x14ac:dyDescent="0.3"/>
    <row r="1065" ht="205.5" customHeight="1" x14ac:dyDescent="0.3"/>
    <row r="1066" ht="205.5" customHeight="1" x14ac:dyDescent="0.3"/>
    <row r="1067" ht="205.5" customHeight="1" x14ac:dyDescent="0.3"/>
    <row r="1068" ht="205.5" customHeight="1" x14ac:dyDescent="0.3"/>
    <row r="1069" ht="205.5" customHeight="1" x14ac:dyDescent="0.3"/>
    <row r="1070" ht="205.5" customHeight="1" x14ac:dyDescent="0.3"/>
    <row r="1071" ht="205.5" customHeight="1" x14ac:dyDescent="0.3"/>
    <row r="1072" ht="205.5" customHeight="1" x14ac:dyDescent="0.3"/>
    <row r="1073" ht="205.5" customHeight="1" x14ac:dyDescent="0.3"/>
    <row r="1074" ht="205.5" customHeight="1" x14ac:dyDescent="0.3"/>
    <row r="1075" ht="205.5" customHeight="1" x14ac:dyDescent="0.3"/>
    <row r="1076" ht="205.5" customHeight="1" x14ac:dyDescent="0.3"/>
    <row r="1077" ht="205.5" customHeight="1" x14ac:dyDescent="0.3"/>
    <row r="1078" ht="205.5" customHeight="1" x14ac:dyDescent="0.3"/>
    <row r="1079" ht="205.5" customHeight="1" x14ac:dyDescent="0.3"/>
    <row r="1080" ht="205.5" customHeight="1" x14ac:dyDescent="0.3"/>
    <row r="1081" ht="205.5" customHeight="1" x14ac:dyDescent="0.3"/>
    <row r="1082" ht="205.5" customHeight="1" x14ac:dyDescent="0.3"/>
    <row r="1083" ht="205.5" customHeight="1" x14ac:dyDescent="0.3"/>
    <row r="1084" ht="205.5" customHeight="1" x14ac:dyDescent="0.3"/>
    <row r="1085" ht="205.5" customHeight="1" x14ac:dyDescent="0.3"/>
    <row r="1086" ht="205.5" customHeight="1" x14ac:dyDescent="0.3"/>
    <row r="1087" ht="205.5" customHeight="1" x14ac:dyDescent="0.3"/>
    <row r="1088" ht="205.5" customHeight="1" x14ac:dyDescent="0.3"/>
    <row r="1089" ht="205.5" customHeight="1" x14ac:dyDescent="0.3"/>
    <row r="1090" ht="205.5" customHeight="1" x14ac:dyDescent="0.3"/>
    <row r="1091" ht="205.5" customHeight="1" x14ac:dyDescent="0.3"/>
    <row r="1092" ht="205.5" customHeight="1" x14ac:dyDescent="0.3"/>
    <row r="1093" ht="205.5" customHeight="1" x14ac:dyDescent="0.3"/>
    <row r="1094" ht="205.5" customHeight="1" x14ac:dyDescent="0.3"/>
    <row r="1095" ht="205.5" customHeight="1" x14ac:dyDescent="0.3"/>
    <row r="1096" ht="205.5" customHeight="1" x14ac:dyDescent="0.3"/>
    <row r="1097" ht="205.5" customHeight="1" x14ac:dyDescent="0.3"/>
    <row r="1098" ht="205.5" customHeight="1" x14ac:dyDescent="0.3"/>
    <row r="1099" ht="205.5" customHeight="1" x14ac:dyDescent="0.3"/>
    <row r="1100" ht="205.5" customHeight="1" x14ac:dyDescent="0.3"/>
    <row r="1101" ht="205.5" customHeight="1" x14ac:dyDescent="0.3"/>
    <row r="1102" ht="205.5" customHeight="1" x14ac:dyDescent="0.3"/>
    <row r="1103" ht="205.5" customHeight="1" x14ac:dyDescent="0.3"/>
    <row r="1104" ht="205.5" customHeight="1" x14ac:dyDescent="0.3"/>
    <row r="1105" ht="205.5" customHeight="1" x14ac:dyDescent="0.3"/>
    <row r="1106" ht="205.5" customHeight="1" x14ac:dyDescent="0.3"/>
    <row r="1107" ht="205.5" customHeight="1" x14ac:dyDescent="0.3"/>
    <row r="1108" ht="205.5" customHeight="1" x14ac:dyDescent="0.3"/>
    <row r="1109" ht="205.5" customHeight="1" x14ac:dyDescent="0.3"/>
    <row r="1110" ht="205.5" customHeight="1" x14ac:dyDescent="0.3"/>
    <row r="1111" ht="205.5" customHeight="1" x14ac:dyDescent="0.3"/>
    <row r="1112" ht="205.5" customHeight="1" x14ac:dyDescent="0.3"/>
    <row r="1113" ht="205.5" customHeight="1" x14ac:dyDescent="0.3"/>
    <row r="1114" ht="205.5" customHeight="1" x14ac:dyDescent="0.3"/>
    <row r="1115" ht="205.5" customHeight="1" x14ac:dyDescent="0.3"/>
    <row r="1116" ht="205.5" customHeight="1" x14ac:dyDescent="0.3"/>
    <row r="1117" ht="205.5" customHeight="1" x14ac:dyDescent="0.3"/>
    <row r="1118" ht="205.5" customHeight="1" x14ac:dyDescent="0.3"/>
    <row r="1119" ht="205.5" customHeight="1" x14ac:dyDescent="0.3"/>
    <row r="1120" ht="205.5" customHeight="1" x14ac:dyDescent="0.3"/>
    <row r="1121" ht="205.5" customHeight="1" x14ac:dyDescent="0.3"/>
    <row r="1122" ht="205.5" customHeight="1" x14ac:dyDescent="0.3"/>
    <row r="1123" ht="205.5" customHeight="1" x14ac:dyDescent="0.3"/>
    <row r="1124" ht="205.5" customHeight="1" x14ac:dyDescent="0.3"/>
    <row r="1125" ht="205.5" customHeight="1" x14ac:dyDescent="0.3"/>
    <row r="1126" ht="205.5" customHeight="1" x14ac:dyDescent="0.3"/>
    <row r="1127" ht="205.5" customHeight="1" x14ac:dyDescent="0.3"/>
    <row r="1128" ht="205.5" customHeight="1" x14ac:dyDescent="0.3"/>
    <row r="1129" ht="205.5" customHeight="1" x14ac:dyDescent="0.3"/>
    <row r="1130" ht="205.5" customHeight="1" x14ac:dyDescent="0.3"/>
    <row r="1131" ht="205.5" customHeight="1" x14ac:dyDescent="0.3"/>
    <row r="1132" ht="205.5" customHeight="1" x14ac:dyDescent="0.3"/>
    <row r="1133" ht="205.5" customHeight="1" x14ac:dyDescent="0.3"/>
    <row r="1134" ht="205.5" customHeight="1" x14ac:dyDescent="0.3"/>
    <row r="1135" ht="205.5" customHeight="1" x14ac:dyDescent="0.3"/>
    <row r="1136" ht="205.5" customHeight="1" x14ac:dyDescent="0.3"/>
    <row r="1137" ht="205.5" customHeight="1" x14ac:dyDescent="0.3"/>
    <row r="1138" ht="205.5" customHeight="1" x14ac:dyDescent="0.3"/>
    <row r="1139" ht="205.5" customHeight="1" x14ac:dyDescent="0.3"/>
    <row r="1140" ht="205.5" customHeight="1" x14ac:dyDescent="0.3"/>
    <row r="1141" ht="205.5" customHeight="1" x14ac:dyDescent="0.3"/>
    <row r="1142" ht="205.5" customHeight="1" x14ac:dyDescent="0.3"/>
    <row r="1143" ht="205.5" customHeight="1" x14ac:dyDescent="0.3"/>
    <row r="1144" ht="205.5" customHeight="1" x14ac:dyDescent="0.3"/>
    <row r="1145" ht="205.5" customHeight="1" x14ac:dyDescent="0.3"/>
    <row r="1146" ht="205.5" customHeight="1" x14ac:dyDescent="0.3"/>
    <row r="1147" ht="205.5" customHeight="1" x14ac:dyDescent="0.3"/>
    <row r="1148" ht="205.5" customHeight="1" x14ac:dyDescent="0.3"/>
    <row r="1149" ht="205.5" customHeight="1" x14ac:dyDescent="0.3"/>
    <row r="1150" ht="205.5" customHeight="1" x14ac:dyDescent="0.3"/>
    <row r="1151" ht="205.5" customHeight="1" x14ac:dyDescent="0.3"/>
    <row r="1152" ht="205.5" customHeight="1" x14ac:dyDescent="0.3"/>
    <row r="1153" ht="205.5" customHeight="1" x14ac:dyDescent="0.3"/>
    <row r="1154" ht="205.5" customHeight="1" x14ac:dyDescent="0.3"/>
    <row r="1155" ht="205.5" customHeight="1" x14ac:dyDescent="0.3"/>
    <row r="1156" ht="205.5" customHeight="1" x14ac:dyDescent="0.3"/>
    <row r="1157" ht="205.5" customHeight="1" x14ac:dyDescent="0.3"/>
    <row r="1158" ht="205.5" customHeight="1" x14ac:dyDescent="0.3"/>
    <row r="1159" ht="205.5" customHeight="1" x14ac:dyDescent="0.3"/>
    <row r="1160" ht="205.5" customHeight="1" x14ac:dyDescent="0.3"/>
    <row r="1161" ht="205.5" customHeight="1" x14ac:dyDescent="0.3"/>
    <row r="1162" ht="205.5" customHeight="1" x14ac:dyDescent="0.3"/>
    <row r="1163" ht="205.5" customHeight="1" x14ac:dyDescent="0.3"/>
    <row r="1164" ht="205.5" customHeight="1" x14ac:dyDescent="0.3"/>
    <row r="1165" ht="205.5" customHeight="1" x14ac:dyDescent="0.3"/>
    <row r="1166" ht="205.5" customHeight="1" x14ac:dyDescent="0.3"/>
    <row r="1167" ht="205.5" customHeight="1" x14ac:dyDescent="0.3"/>
    <row r="1168" ht="205.5" customHeight="1" x14ac:dyDescent="0.3"/>
    <row r="1169" ht="205.5" customHeight="1" x14ac:dyDescent="0.3"/>
    <row r="1170" ht="205.5" customHeight="1" x14ac:dyDescent="0.3"/>
    <row r="1171" ht="205.5" customHeight="1" x14ac:dyDescent="0.3"/>
    <row r="1172" ht="205.5" customHeight="1" x14ac:dyDescent="0.3"/>
    <row r="1173" ht="205.5" customHeight="1" x14ac:dyDescent="0.3"/>
    <row r="1174" ht="205.5" customHeight="1" x14ac:dyDescent="0.3"/>
    <row r="1175" ht="205.5" customHeight="1" x14ac:dyDescent="0.3"/>
    <row r="1176" ht="205.5" customHeight="1" x14ac:dyDescent="0.3"/>
    <row r="1177" ht="205.5" customHeight="1" x14ac:dyDescent="0.3"/>
    <row r="1178" ht="205.5" customHeight="1" x14ac:dyDescent="0.3"/>
    <row r="1179" ht="205.5" customHeight="1" x14ac:dyDescent="0.3"/>
    <row r="1180" ht="205.5" customHeight="1" x14ac:dyDescent="0.3"/>
    <row r="1181" ht="205.5" customHeight="1" x14ac:dyDescent="0.3"/>
    <row r="1182" ht="205.5" customHeight="1" x14ac:dyDescent="0.3"/>
    <row r="1183" ht="205.5" customHeight="1" x14ac:dyDescent="0.3"/>
    <row r="1184" ht="205.5" customHeight="1" x14ac:dyDescent="0.3"/>
    <row r="1185" ht="205.5" customHeight="1" x14ac:dyDescent="0.3"/>
    <row r="1186" ht="205.5" customHeight="1" x14ac:dyDescent="0.3"/>
    <row r="1187" ht="205.5" customHeight="1" x14ac:dyDescent="0.3"/>
    <row r="1188" ht="205.5" customHeight="1" x14ac:dyDescent="0.3"/>
    <row r="1189" ht="205.5" customHeight="1" x14ac:dyDescent="0.3"/>
    <row r="1190" ht="205.5" customHeight="1" x14ac:dyDescent="0.3"/>
    <row r="1191" ht="205.5" customHeight="1" x14ac:dyDescent="0.3"/>
    <row r="1192" ht="205.5" customHeight="1" x14ac:dyDescent="0.3"/>
    <row r="1193" ht="205.5" customHeight="1" x14ac:dyDescent="0.3"/>
    <row r="1194" ht="205.5" customHeight="1" x14ac:dyDescent="0.3"/>
    <row r="1195" ht="205.5" customHeight="1" x14ac:dyDescent="0.3"/>
    <row r="1196" ht="205.5" customHeight="1" x14ac:dyDescent="0.3"/>
    <row r="1197" ht="205.5" customHeight="1" x14ac:dyDescent="0.3"/>
    <row r="1198" ht="205.5" customHeight="1" x14ac:dyDescent="0.3"/>
    <row r="1199" ht="205.5" customHeight="1" x14ac:dyDescent="0.3"/>
    <row r="1200" ht="205.5" customHeight="1" x14ac:dyDescent="0.3"/>
    <row r="1201" ht="205.5" customHeight="1" x14ac:dyDescent="0.3"/>
    <row r="1202" ht="205.5" customHeight="1" x14ac:dyDescent="0.3"/>
    <row r="1203" ht="205.5" customHeight="1" x14ac:dyDescent="0.3"/>
    <row r="1204" ht="205.5" customHeight="1" x14ac:dyDescent="0.3"/>
    <row r="1205" ht="205.5" customHeight="1" x14ac:dyDescent="0.3"/>
    <row r="1206" ht="205.5" customHeight="1" x14ac:dyDescent="0.3"/>
    <row r="1207" ht="205.5" customHeight="1" x14ac:dyDescent="0.3"/>
    <row r="1208" ht="205.5" customHeight="1" x14ac:dyDescent="0.3"/>
    <row r="1209" ht="205.5" customHeight="1" x14ac:dyDescent="0.3"/>
    <row r="1210" ht="205.5" customHeight="1" x14ac:dyDescent="0.3"/>
    <row r="1211" ht="205.5" customHeight="1" x14ac:dyDescent="0.3"/>
    <row r="1212" ht="205.5" customHeight="1" x14ac:dyDescent="0.3"/>
    <row r="1213" ht="205.5" customHeight="1" x14ac:dyDescent="0.3"/>
    <row r="1214" ht="205.5" customHeight="1" x14ac:dyDescent="0.3"/>
    <row r="1215" ht="205.5" customHeight="1" x14ac:dyDescent="0.3"/>
    <row r="1216" ht="205.5" customHeight="1" x14ac:dyDescent="0.3"/>
    <row r="1217" ht="205.5" customHeight="1" x14ac:dyDescent="0.3"/>
    <row r="1218" ht="205.5" customHeight="1" x14ac:dyDescent="0.3"/>
    <row r="1219" ht="205.5" customHeight="1" x14ac:dyDescent="0.3"/>
    <row r="1220" ht="205.5" customHeight="1" x14ac:dyDescent="0.3"/>
    <row r="1221" ht="205.5" customHeight="1" x14ac:dyDescent="0.3"/>
    <row r="1222" ht="205.5" customHeight="1" x14ac:dyDescent="0.3"/>
    <row r="1223" ht="205.5" customHeight="1" x14ac:dyDescent="0.3"/>
    <row r="1224" ht="205.5" customHeight="1" x14ac:dyDescent="0.3"/>
    <row r="1225" ht="205.5" customHeight="1" x14ac:dyDescent="0.3"/>
    <row r="1226" ht="205.5" customHeight="1" x14ac:dyDescent="0.3"/>
    <row r="1227" ht="205.5" customHeight="1" x14ac:dyDescent="0.3"/>
    <row r="1228" ht="205.5" customHeight="1" x14ac:dyDescent="0.3"/>
    <row r="1229" ht="205.5" customHeight="1" x14ac:dyDescent="0.3"/>
    <row r="1230" ht="205.5" customHeight="1" x14ac:dyDescent="0.3"/>
    <row r="1231" ht="205.5" customHeight="1" x14ac:dyDescent="0.3"/>
    <row r="1232" ht="205.5" customHeight="1" x14ac:dyDescent="0.3"/>
    <row r="1233" ht="205.5" customHeight="1" x14ac:dyDescent="0.3"/>
    <row r="1234" ht="205.5" customHeight="1" x14ac:dyDescent="0.3"/>
    <row r="1235" ht="205.5" customHeight="1" x14ac:dyDescent="0.3"/>
    <row r="1236" ht="205.5" customHeight="1" x14ac:dyDescent="0.3"/>
    <row r="1237" ht="205.5" customHeight="1" x14ac:dyDescent="0.3"/>
    <row r="1238" ht="205.5" customHeight="1" x14ac:dyDescent="0.3"/>
    <row r="1239" ht="205.5" customHeight="1" x14ac:dyDescent="0.3"/>
    <row r="1240" ht="205.5" customHeight="1" x14ac:dyDescent="0.3"/>
    <row r="1241" ht="205.5" customHeight="1" x14ac:dyDescent="0.3"/>
    <row r="1242" ht="205.5" customHeight="1" x14ac:dyDescent="0.3"/>
    <row r="1243" ht="205.5" customHeight="1" x14ac:dyDescent="0.3"/>
    <row r="1244" ht="205.5" customHeight="1" x14ac:dyDescent="0.3"/>
    <row r="1245" ht="205.5" customHeight="1" x14ac:dyDescent="0.3"/>
    <row r="1246" ht="205.5" customHeight="1" x14ac:dyDescent="0.3"/>
    <row r="1247" ht="205.5" customHeight="1" x14ac:dyDescent="0.3"/>
    <row r="1248" ht="205.5" customHeight="1" x14ac:dyDescent="0.3"/>
    <row r="1249" ht="205.5" customHeight="1" x14ac:dyDescent="0.3"/>
    <row r="1250" ht="205.5" customHeight="1" x14ac:dyDescent="0.3"/>
    <row r="1251" ht="205.5" customHeight="1" x14ac:dyDescent="0.3"/>
    <row r="1252" ht="205.5" customHeight="1" x14ac:dyDescent="0.3"/>
    <row r="1253" ht="205.5" customHeight="1" x14ac:dyDescent="0.3"/>
    <row r="1254" ht="205.5" customHeight="1" x14ac:dyDescent="0.3"/>
    <row r="1255" ht="205.5" customHeight="1" x14ac:dyDescent="0.3"/>
    <row r="1256" ht="205.5" customHeight="1" x14ac:dyDescent="0.3"/>
    <row r="1257" ht="205.5" customHeight="1" x14ac:dyDescent="0.3"/>
    <row r="1258" ht="205.5" customHeight="1" x14ac:dyDescent="0.3"/>
    <row r="1259" ht="205.5" customHeight="1" x14ac:dyDescent="0.3"/>
    <row r="1260" ht="205.5" customHeight="1" x14ac:dyDescent="0.3"/>
    <row r="1261" ht="205.5" customHeight="1" x14ac:dyDescent="0.3"/>
    <row r="1262" ht="205.5" customHeight="1" x14ac:dyDescent="0.3"/>
    <row r="1263" ht="205.5" customHeight="1" x14ac:dyDescent="0.3"/>
    <row r="1264" ht="205.5" customHeight="1" x14ac:dyDescent="0.3"/>
    <row r="1265" ht="205.5" customHeight="1" x14ac:dyDescent="0.3"/>
    <row r="1266" ht="205.5" customHeight="1" x14ac:dyDescent="0.3"/>
    <row r="1267" ht="205.5" customHeight="1" x14ac:dyDescent="0.3"/>
    <row r="1268" ht="205.5" customHeight="1" x14ac:dyDescent="0.3"/>
    <row r="1269" ht="205.5" customHeight="1" x14ac:dyDescent="0.3"/>
    <row r="1270" ht="205.5" customHeight="1" x14ac:dyDescent="0.3"/>
    <row r="1271" ht="205.5" customHeight="1" x14ac:dyDescent="0.3"/>
    <row r="1272" ht="205.5" customHeight="1" x14ac:dyDescent="0.3"/>
    <row r="1273" ht="205.5" customHeight="1" x14ac:dyDescent="0.3"/>
    <row r="1274" ht="205.5" customHeight="1" x14ac:dyDescent="0.3"/>
    <row r="1275" ht="205.5" customHeight="1" x14ac:dyDescent="0.3"/>
    <row r="1276" ht="205.5" customHeight="1" x14ac:dyDescent="0.3"/>
    <row r="1277" ht="205.5" customHeight="1" x14ac:dyDescent="0.3"/>
    <row r="1278" ht="205.5" customHeight="1" x14ac:dyDescent="0.3"/>
    <row r="1279" ht="205.5" customHeight="1" x14ac:dyDescent="0.3"/>
    <row r="1280" ht="205.5" customHeight="1" x14ac:dyDescent="0.3"/>
    <row r="1281" ht="205.5" customHeight="1" x14ac:dyDescent="0.3"/>
    <row r="1282" ht="205.5" customHeight="1" x14ac:dyDescent="0.3"/>
    <row r="1283" ht="205.5" customHeight="1" x14ac:dyDescent="0.3"/>
    <row r="1284" ht="205.5" customHeight="1" x14ac:dyDescent="0.3"/>
    <row r="1285" ht="205.5" customHeight="1" x14ac:dyDescent="0.3"/>
    <row r="1286" ht="205.5" customHeight="1" x14ac:dyDescent="0.3"/>
    <row r="1287" ht="205.5" customHeight="1" x14ac:dyDescent="0.3"/>
    <row r="1288" ht="205.5" customHeight="1" x14ac:dyDescent="0.3"/>
    <row r="1289" ht="205.5" customHeight="1" x14ac:dyDescent="0.3"/>
    <row r="1290" ht="205.5" customHeight="1" x14ac:dyDescent="0.3"/>
    <row r="1291" ht="205.5" customHeight="1" x14ac:dyDescent="0.3"/>
    <row r="1292" ht="205.5" customHeight="1" x14ac:dyDescent="0.3"/>
    <row r="1293" ht="205.5" customHeight="1" x14ac:dyDescent="0.3"/>
    <row r="1294" ht="205.5" customHeight="1" x14ac:dyDescent="0.3"/>
    <row r="1295" ht="205.5" customHeight="1" x14ac:dyDescent="0.3"/>
    <row r="1296" ht="205.5" customHeight="1" x14ac:dyDescent="0.3"/>
    <row r="1297" ht="205.5" customHeight="1" x14ac:dyDescent="0.3"/>
    <row r="1298" ht="205.5" customHeight="1" x14ac:dyDescent="0.3"/>
    <row r="1299" ht="205.5" customHeight="1" x14ac:dyDescent="0.3"/>
    <row r="1300" ht="205.5" customHeight="1" x14ac:dyDescent="0.3"/>
    <row r="1301" ht="205.5" customHeight="1" x14ac:dyDescent="0.3"/>
    <row r="1302" ht="205.5" customHeight="1" x14ac:dyDescent="0.3"/>
    <row r="1303" ht="205.5" customHeight="1" x14ac:dyDescent="0.3"/>
    <row r="1304" ht="205.5" customHeight="1" x14ac:dyDescent="0.3"/>
    <row r="1305" ht="205.5" customHeight="1" x14ac:dyDescent="0.3"/>
    <row r="1306" ht="205.5" customHeight="1" x14ac:dyDescent="0.3"/>
    <row r="1307" ht="205.5" customHeight="1" x14ac:dyDescent="0.3"/>
    <row r="1308" ht="205.5" customHeight="1" x14ac:dyDescent="0.3"/>
    <row r="1309" ht="205.5" customHeight="1" x14ac:dyDescent="0.3"/>
    <row r="1310" ht="205.5" customHeight="1" x14ac:dyDescent="0.3"/>
    <row r="1311" ht="205.5" customHeight="1" x14ac:dyDescent="0.3"/>
    <row r="1312" ht="205.5" customHeight="1" x14ac:dyDescent="0.3"/>
    <row r="1313" ht="205.5" customHeight="1" x14ac:dyDescent="0.3"/>
    <row r="1314" ht="205.5" customHeight="1" x14ac:dyDescent="0.3"/>
    <row r="1315" ht="205.5" customHeight="1" x14ac:dyDescent="0.3"/>
    <row r="1316" ht="205.5" customHeight="1" x14ac:dyDescent="0.3"/>
    <row r="1317" ht="205.5" customHeight="1" x14ac:dyDescent="0.3"/>
    <row r="1318" ht="205.5" customHeight="1" x14ac:dyDescent="0.3"/>
    <row r="1319" ht="205.5" customHeight="1" x14ac:dyDescent="0.3"/>
    <row r="1320" ht="205.5" customHeight="1" x14ac:dyDescent="0.3"/>
    <row r="1321" ht="205.5" customHeight="1" x14ac:dyDescent="0.3"/>
    <row r="1322" ht="205.5" customHeight="1" x14ac:dyDescent="0.3"/>
    <row r="1323" ht="205.5" customHeight="1" x14ac:dyDescent="0.3"/>
    <row r="1324" ht="205.5" customHeight="1" x14ac:dyDescent="0.3"/>
    <row r="1325" ht="205.5" customHeight="1" x14ac:dyDescent="0.3"/>
    <row r="1326" ht="205.5" customHeight="1" x14ac:dyDescent="0.3"/>
    <row r="1327" ht="205.5" customHeight="1" x14ac:dyDescent="0.3"/>
    <row r="1328" ht="205.5" customHeight="1" x14ac:dyDescent="0.3"/>
    <row r="1329" ht="205.5" customHeight="1" x14ac:dyDescent="0.3"/>
    <row r="1330" ht="205.5" customHeight="1" x14ac:dyDescent="0.3"/>
    <row r="1331" ht="205.5" customHeight="1" x14ac:dyDescent="0.3"/>
    <row r="1332" ht="205.5" customHeight="1" x14ac:dyDescent="0.3"/>
    <row r="1333" ht="205.5" customHeight="1" x14ac:dyDescent="0.3"/>
    <row r="1334" ht="205.5" customHeight="1" x14ac:dyDescent="0.3"/>
    <row r="1335" ht="205.5" customHeight="1" x14ac:dyDescent="0.3"/>
    <row r="1336" ht="205.5" customHeight="1" x14ac:dyDescent="0.3"/>
    <row r="1337" ht="205.5" customHeight="1" x14ac:dyDescent="0.3"/>
    <row r="1338" ht="205.5" customHeight="1" x14ac:dyDescent="0.3"/>
    <row r="1339" ht="205.5" customHeight="1" x14ac:dyDescent="0.3"/>
    <row r="1340" ht="205.5" customHeight="1" x14ac:dyDescent="0.3"/>
    <row r="1341" ht="205.5" customHeight="1" x14ac:dyDescent="0.3"/>
    <row r="1342" ht="205.5" customHeight="1" x14ac:dyDescent="0.3"/>
    <row r="1343" ht="205.5" customHeight="1" x14ac:dyDescent="0.3"/>
    <row r="1344" ht="205.5" customHeight="1" x14ac:dyDescent="0.3"/>
    <row r="1345" ht="205.5" customHeight="1" x14ac:dyDescent="0.3"/>
    <row r="1346" ht="205.5" customHeight="1" x14ac:dyDescent="0.3"/>
    <row r="1347" ht="205.5" customHeight="1" x14ac:dyDescent="0.3"/>
    <row r="1348" ht="205.5" customHeight="1" x14ac:dyDescent="0.3"/>
    <row r="1349" ht="205.5" customHeight="1" x14ac:dyDescent="0.3"/>
    <row r="1350" ht="205.5" customHeight="1" x14ac:dyDescent="0.3"/>
    <row r="1351" ht="205.5" customHeight="1" x14ac:dyDescent="0.3"/>
    <row r="1352" ht="205.5" customHeight="1" x14ac:dyDescent="0.3"/>
    <row r="1353" ht="205.5" customHeight="1" x14ac:dyDescent="0.3"/>
    <row r="1354" ht="205.5" customHeight="1" x14ac:dyDescent="0.3"/>
    <row r="1355" ht="205.5" customHeight="1" x14ac:dyDescent="0.3"/>
    <row r="1356" ht="205.5" customHeight="1" x14ac:dyDescent="0.3"/>
    <row r="1357" ht="205.5" customHeight="1" x14ac:dyDescent="0.3"/>
    <row r="1358" ht="205.5" customHeight="1" x14ac:dyDescent="0.3"/>
    <row r="1359" ht="205.5" customHeight="1" x14ac:dyDescent="0.3"/>
    <row r="1360" ht="205.5" customHeight="1" x14ac:dyDescent="0.3"/>
    <row r="1361" ht="205.5" customHeight="1" x14ac:dyDescent="0.3"/>
    <row r="1362" ht="205.5" customHeight="1" x14ac:dyDescent="0.3"/>
    <row r="1363" ht="205.5" customHeight="1" x14ac:dyDescent="0.3"/>
    <row r="1364" ht="205.5" customHeight="1" x14ac:dyDescent="0.3"/>
    <row r="1365" ht="205.5" customHeight="1" x14ac:dyDescent="0.3"/>
    <row r="1366" ht="205.5" customHeight="1" x14ac:dyDescent="0.3"/>
    <row r="1367" ht="205.5" customHeight="1" x14ac:dyDescent="0.3"/>
    <row r="1368" ht="205.5" customHeight="1" x14ac:dyDescent="0.3"/>
    <row r="1369" ht="205.5" customHeight="1" x14ac:dyDescent="0.3"/>
    <row r="1370" ht="205.5" customHeight="1" x14ac:dyDescent="0.3"/>
    <row r="1371" ht="205.5" customHeight="1" x14ac:dyDescent="0.3"/>
    <row r="1372" ht="205.5" customHeight="1" x14ac:dyDescent="0.3"/>
    <row r="1373" ht="205.5" customHeight="1" x14ac:dyDescent="0.3"/>
    <row r="1374" ht="205.5" customHeight="1" x14ac:dyDescent="0.3"/>
    <row r="1375" ht="205.5" customHeight="1" x14ac:dyDescent="0.3"/>
    <row r="1376" ht="205.5" customHeight="1" x14ac:dyDescent="0.3"/>
    <row r="1377" ht="205.5" customHeight="1" x14ac:dyDescent="0.3"/>
    <row r="1378" ht="205.5" customHeight="1" x14ac:dyDescent="0.3"/>
    <row r="1379" ht="205.5" customHeight="1" x14ac:dyDescent="0.3"/>
    <row r="1380" ht="205.5" customHeight="1" x14ac:dyDescent="0.3"/>
    <row r="1381" ht="205.5" customHeight="1" x14ac:dyDescent="0.3"/>
    <row r="1382" ht="205.5" customHeight="1" x14ac:dyDescent="0.3"/>
    <row r="1383" ht="205.5" customHeight="1" x14ac:dyDescent="0.3"/>
    <row r="1384" ht="205.5" customHeight="1" x14ac:dyDescent="0.3"/>
    <row r="1385" ht="205.5" customHeight="1" x14ac:dyDescent="0.3"/>
    <row r="1386" ht="205.5" customHeight="1" x14ac:dyDescent="0.3"/>
    <row r="1387" ht="205.5" customHeight="1" x14ac:dyDescent="0.3"/>
    <row r="1388" ht="205.5" customHeight="1" x14ac:dyDescent="0.3"/>
    <row r="1389" ht="205.5" customHeight="1" x14ac:dyDescent="0.3"/>
    <row r="1390" ht="205.5" customHeight="1" x14ac:dyDescent="0.3"/>
    <row r="1391" ht="205.5" customHeight="1" x14ac:dyDescent="0.3"/>
    <row r="1392" ht="205.5" customHeight="1" x14ac:dyDescent="0.3"/>
    <row r="1393" ht="205.5" customHeight="1" x14ac:dyDescent="0.3"/>
    <row r="1394" ht="205.5" customHeight="1" x14ac:dyDescent="0.3"/>
    <row r="1395" ht="205.5" customHeight="1" x14ac:dyDescent="0.3"/>
    <row r="1396" ht="205.5" customHeight="1" x14ac:dyDescent="0.3"/>
    <row r="1397" ht="205.5" customHeight="1" x14ac:dyDescent="0.3"/>
    <row r="1398" ht="205.5" customHeight="1" x14ac:dyDescent="0.3"/>
    <row r="1399" ht="205.5" customHeight="1" x14ac:dyDescent="0.3"/>
    <row r="1400" ht="205.5" customHeight="1" x14ac:dyDescent="0.3"/>
    <row r="1401" ht="205.5" customHeight="1" x14ac:dyDescent="0.3"/>
    <row r="1402" ht="205.5" customHeight="1" x14ac:dyDescent="0.3"/>
    <row r="1403" ht="205.5" customHeight="1" x14ac:dyDescent="0.3"/>
    <row r="1404" ht="205.5" customHeight="1" x14ac:dyDescent="0.3"/>
    <row r="1405" ht="205.5" customHeight="1" x14ac:dyDescent="0.3"/>
    <row r="1406" ht="205.5" customHeight="1" x14ac:dyDescent="0.3"/>
    <row r="1407" ht="205.5" customHeight="1" x14ac:dyDescent="0.3"/>
    <row r="1408" ht="205.5" customHeight="1" x14ac:dyDescent="0.3"/>
    <row r="1409" ht="205.5" customHeight="1" x14ac:dyDescent="0.3"/>
    <row r="1410" ht="205.5" customHeight="1" x14ac:dyDescent="0.3"/>
    <row r="1411" ht="205.5" customHeight="1" x14ac:dyDescent="0.3"/>
    <row r="1412" ht="205.5" customHeight="1" x14ac:dyDescent="0.3"/>
    <row r="1413" ht="205.5" customHeight="1" x14ac:dyDescent="0.3"/>
    <row r="1414" ht="205.5" customHeight="1" x14ac:dyDescent="0.3"/>
    <row r="1415" ht="205.5" customHeight="1" x14ac:dyDescent="0.3"/>
    <row r="1416" ht="205.5" customHeight="1" x14ac:dyDescent="0.3"/>
    <row r="1417" ht="205.5" customHeight="1" x14ac:dyDescent="0.3"/>
    <row r="1418" ht="205.5" customHeight="1" x14ac:dyDescent="0.3"/>
    <row r="1419" ht="205.5" customHeight="1" x14ac:dyDescent="0.3"/>
    <row r="1420" ht="205.5" customHeight="1" x14ac:dyDescent="0.3"/>
    <row r="1421" ht="205.5" customHeight="1" x14ac:dyDescent="0.3"/>
    <row r="1422" ht="205.5" customHeight="1" x14ac:dyDescent="0.3"/>
    <row r="1423" ht="205.5" customHeight="1" x14ac:dyDescent="0.3"/>
    <row r="1424" ht="205.5" customHeight="1" x14ac:dyDescent="0.3"/>
    <row r="1425" ht="205.5" customHeight="1" x14ac:dyDescent="0.3"/>
    <row r="1426" ht="205.5" customHeight="1" x14ac:dyDescent="0.3"/>
    <row r="1427" ht="205.5" customHeight="1" x14ac:dyDescent="0.3"/>
    <row r="1428" ht="205.5" customHeight="1" x14ac:dyDescent="0.3"/>
    <row r="1429" ht="205.5" customHeight="1" x14ac:dyDescent="0.3"/>
    <row r="1430" ht="205.5" customHeight="1" x14ac:dyDescent="0.3"/>
    <row r="1431" ht="205.5" customHeight="1" x14ac:dyDescent="0.3"/>
    <row r="1432" ht="205.5" customHeight="1" x14ac:dyDescent="0.3"/>
    <row r="1433" ht="205.5" customHeight="1" x14ac:dyDescent="0.3"/>
    <row r="1434" ht="205.5" customHeight="1" x14ac:dyDescent="0.3"/>
    <row r="1435" ht="205.5" customHeight="1" x14ac:dyDescent="0.3"/>
    <row r="1436" ht="205.5" customHeight="1" x14ac:dyDescent="0.3"/>
    <row r="1437" ht="205.5" customHeight="1" x14ac:dyDescent="0.3"/>
    <row r="1438" ht="205.5" customHeight="1" x14ac:dyDescent="0.3"/>
    <row r="1439" ht="205.5" customHeight="1" x14ac:dyDescent="0.3"/>
    <row r="1440" ht="205.5" customHeight="1" x14ac:dyDescent="0.3"/>
    <row r="1441" ht="205.5" customHeight="1" x14ac:dyDescent="0.3"/>
    <row r="1442" ht="205.5" customHeight="1" x14ac:dyDescent="0.3"/>
    <row r="1443" ht="205.5" customHeight="1" x14ac:dyDescent="0.3"/>
    <row r="1444" ht="205.5" customHeight="1" x14ac:dyDescent="0.3"/>
    <row r="1445" ht="205.5" customHeight="1" x14ac:dyDescent="0.3"/>
    <row r="1446" ht="205.5" customHeight="1" x14ac:dyDescent="0.3"/>
    <row r="1447" ht="205.5" customHeight="1" x14ac:dyDescent="0.3"/>
    <row r="1448" ht="205.5" customHeight="1" x14ac:dyDescent="0.3"/>
    <row r="1449" ht="205.5" customHeight="1" x14ac:dyDescent="0.3"/>
    <row r="1450" ht="205.5" customHeight="1" x14ac:dyDescent="0.3"/>
    <row r="1451" ht="205.5" customHeight="1" x14ac:dyDescent="0.3"/>
    <row r="1452" ht="205.5" customHeight="1" x14ac:dyDescent="0.3"/>
    <row r="1453" ht="205.5" customHeight="1" x14ac:dyDescent="0.3"/>
    <row r="1454" ht="205.5" customHeight="1" x14ac:dyDescent="0.3"/>
    <row r="1455" ht="205.5" customHeight="1" x14ac:dyDescent="0.3"/>
    <row r="1456" ht="205.5" customHeight="1" x14ac:dyDescent="0.3"/>
    <row r="1457" ht="205.5" customHeight="1" x14ac:dyDescent="0.3"/>
    <row r="1458" ht="205.5" customHeight="1" x14ac:dyDescent="0.3"/>
    <row r="1459" ht="205.5" customHeight="1" x14ac:dyDescent="0.3"/>
    <row r="1460" ht="205.5" customHeight="1" x14ac:dyDescent="0.3"/>
    <row r="1461" ht="205.5" customHeight="1" x14ac:dyDescent="0.3"/>
    <row r="1462" ht="205.5" customHeight="1" x14ac:dyDescent="0.3"/>
    <row r="1463" ht="205.5" customHeight="1" x14ac:dyDescent="0.3"/>
    <row r="1464" ht="205.5" customHeight="1" x14ac:dyDescent="0.3"/>
    <row r="1465" ht="205.5" customHeight="1" x14ac:dyDescent="0.3"/>
    <row r="1466" ht="205.5" customHeight="1" x14ac:dyDescent="0.3"/>
    <row r="1467" ht="205.5" customHeight="1" x14ac:dyDescent="0.3"/>
    <row r="1468" ht="205.5" customHeight="1" x14ac:dyDescent="0.3"/>
    <row r="1469" ht="205.5" customHeight="1" x14ac:dyDescent="0.3"/>
    <row r="1470" ht="205.5" customHeight="1" x14ac:dyDescent="0.3"/>
    <row r="1471" ht="205.5" customHeight="1" x14ac:dyDescent="0.3"/>
    <row r="1472" ht="205.5" customHeight="1" x14ac:dyDescent="0.3"/>
    <row r="1473" ht="205.5" customHeight="1" x14ac:dyDescent="0.3"/>
    <row r="1474" ht="205.5" customHeight="1" x14ac:dyDescent="0.3"/>
    <row r="1475" ht="205.5" customHeight="1" x14ac:dyDescent="0.3"/>
    <row r="1476" ht="205.5" customHeight="1" x14ac:dyDescent="0.3"/>
    <row r="1477" ht="205.5" customHeight="1" x14ac:dyDescent="0.3"/>
    <row r="1478" ht="205.5" customHeight="1" x14ac:dyDescent="0.3"/>
    <row r="1479" ht="205.5" customHeight="1" x14ac:dyDescent="0.3"/>
    <row r="1480" ht="205.5" customHeight="1" x14ac:dyDescent="0.3"/>
    <row r="1481" ht="205.5" customHeight="1" x14ac:dyDescent="0.3"/>
    <row r="1482" ht="205.5" customHeight="1" x14ac:dyDescent="0.3"/>
    <row r="1483" ht="205.5" customHeight="1" x14ac:dyDescent="0.3"/>
    <row r="1484" ht="205.5" customHeight="1" x14ac:dyDescent="0.3"/>
    <row r="1485" ht="205.5" customHeight="1" x14ac:dyDescent="0.3"/>
    <row r="1486" ht="205.5" customHeight="1" x14ac:dyDescent="0.3"/>
    <row r="1487" ht="205.5" customHeight="1" x14ac:dyDescent="0.3"/>
    <row r="1488" ht="205.5" customHeight="1" x14ac:dyDescent="0.3"/>
    <row r="1489" ht="205.5" customHeight="1" x14ac:dyDescent="0.3"/>
    <row r="1490" ht="205.5" customHeight="1" x14ac:dyDescent="0.3"/>
    <row r="1491" ht="205.5" customHeight="1" x14ac:dyDescent="0.3"/>
    <row r="1492" ht="205.5" customHeight="1" x14ac:dyDescent="0.3"/>
    <row r="1493" ht="205.5" customHeight="1" x14ac:dyDescent="0.3"/>
    <row r="1494" ht="205.5" customHeight="1" x14ac:dyDescent="0.3"/>
    <row r="1495" ht="205.5" customHeight="1" x14ac:dyDescent="0.3"/>
    <row r="1496" ht="205.5" customHeight="1" x14ac:dyDescent="0.3"/>
    <row r="1497" ht="205.5" customHeight="1" x14ac:dyDescent="0.3"/>
    <row r="1498" ht="205.5" customHeight="1" x14ac:dyDescent="0.3"/>
    <row r="1499" ht="205.5" customHeight="1" x14ac:dyDescent="0.3"/>
    <row r="1500" ht="205.5" customHeight="1" x14ac:dyDescent="0.3"/>
    <row r="1501" ht="205.5" customHeight="1" x14ac:dyDescent="0.3"/>
    <row r="1502" ht="205.5" customHeight="1" x14ac:dyDescent="0.3"/>
    <row r="1503" ht="205.5" customHeight="1" x14ac:dyDescent="0.3"/>
    <row r="1504" ht="205.5" customHeight="1" x14ac:dyDescent="0.3"/>
    <row r="1505" ht="205.5" customHeight="1" x14ac:dyDescent="0.3"/>
    <row r="1506" ht="205.5" customHeight="1" x14ac:dyDescent="0.3"/>
    <row r="1507" ht="205.5" customHeight="1" x14ac:dyDescent="0.3"/>
    <row r="1508" ht="205.5" customHeight="1" x14ac:dyDescent="0.3"/>
    <row r="1509" ht="205.5" customHeight="1" x14ac:dyDescent="0.3"/>
    <row r="1510" ht="205.5" customHeight="1" x14ac:dyDescent="0.3"/>
    <row r="1511" ht="205.5" customHeight="1" x14ac:dyDescent="0.3"/>
    <row r="1512" ht="205.5" customHeight="1" x14ac:dyDescent="0.3"/>
    <row r="1513" ht="205.5" customHeight="1" x14ac:dyDescent="0.3"/>
    <row r="1514" ht="205.5" customHeight="1" x14ac:dyDescent="0.3"/>
    <row r="1515" ht="205.5" customHeight="1" x14ac:dyDescent="0.3"/>
    <row r="1516" ht="205.5" customHeight="1" x14ac:dyDescent="0.3"/>
    <row r="1517" ht="205.5" customHeight="1" x14ac:dyDescent="0.3"/>
    <row r="1518" ht="205.5" customHeight="1" x14ac:dyDescent="0.3"/>
    <row r="1519" ht="205.5" customHeight="1" x14ac:dyDescent="0.3"/>
    <row r="1520" ht="205.5" customHeight="1" x14ac:dyDescent="0.3"/>
    <row r="1521" ht="205.5" customHeight="1" x14ac:dyDescent="0.3"/>
    <row r="1522" ht="205.5" customHeight="1" x14ac:dyDescent="0.3"/>
    <row r="1523" ht="205.5" customHeight="1" x14ac:dyDescent="0.3"/>
    <row r="1524" ht="205.5" customHeight="1" x14ac:dyDescent="0.3"/>
    <row r="1525" ht="205.5" customHeight="1" x14ac:dyDescent="0.3"/>
    <row r="1526" ht="205.5" customHeight="1" x14ac:dyDescent="0.3"/>
    <row r="1527" ht="205.5" customHeight="1" x14ac:dyDescent="0.3"/>
    <row r="1528" ht="205.5" customHeight="1" x14ac:dyDescent="0.3"/>
    <row r="1529" ht="205.5" customHeight="1" x14ac:dyDescent="0.3"/>
    <row r="1530" ht="205.5" customHeight="1" x14ac:dyDescent="0.3"/>
    <row r="1531" ht="205.5" customHeight="1" x14ac:dyDescent="0.3"/>
    <row r="1532" ht="205.5" customHeight="1" x14ac:dyDescent="0.3"/>
    <row r="1533" ht="205.5" customHeight="1" x14ac:dyDescent="0.3"/>
    <row r="1534" ht="205.5" customHeight="1" x14ac:dyDescent="0.3"/>
    <row r="1535" ht="205.5" customHeight="1" x14ac:dyDescent="0.3"/>
    <row r="1536" ht="205.5" customHeight="1" x14ac:dyDescent="0.3"/>
    <row r="1537" ht="205.5" customHeight="1" x14ac:dyDescent="0.3"/>
    <row r="1538" ht="205.5" customHeight="1" x14ac:dyDescent="0.3"/>
    <row r="1539" ht="205.5" customHeight="1" x14ac:dyDescent="0.3"/>
    <row r="1540" ht="205.5" customHeight="1" x14ac:dyDescent="0.3"/>
    <row r="1541" ht="205.5" customHeight="1" x14ac:dyDescent="0.3"/>
    <row r="1542" ht="205.5" customHeight="1" x14ac:dyDescent="0.3"/>
    <row r="1543" ht="205.5" customHeight="1" x14ac:dyDescent="0.3"/>
    <row r="1544" ht="205.5" customHeight="1" x14ac:dyDescent="0.3"/>
    <row r="1545" ht="205.5" customHeight="1" x14ac:dyDescent="0.3"/>
    <row r="1546" ht="205.5" customHeight="1" x14ac:dyDescent="0.3"/>
    <row r="1547" ht="205.5" customHeight="1" x14ac:dyDescent="0.3"/>
    <row r="1548" ht="205.5" customHeight="1" x14ac:dyDescent="0.3"/>
    <row r="1549" ht="205.5" customHeight="1" x14ac:dyDescent="0.3"/>
    <row r="1550" ht="205.5" customHeight="1" x14ac:dyDescent="0.3"/>
    <row r="1551" ht="205.5" customHeight="1" x14ac:dyDescent="0.3"/>
    <row r="1552" ht="205.5" customHeight="1" x14ac:dyDescent="0.3"/>
    <row r="1553" ht="205.5" customHeight="1" x14ac:dyDescent="0.3"/>
    <row r="1554" ht="205.5" customHeight="1" x14ac:dyDescent="0.3"/>
    <row r="1555" ht="205.5" customHeight="1" x14ac:dyDescent="0.3"/>
    <row r="1556" ht="205.5" customHeight="1" x14ac:dyDescent="0.3"/>
    <row r="1557" ht="205.5" customHeight="1" x14ac:dyDescent="0.3"/>
    <row r="1558" ht="205.5" customHeight="1" x14ac:dyDescent="0.3"/>
    <row r="1559" ht="205.5" customHeight="1" x14ac:dyDescent="0.3"/>
    <row r="1560" ht="205.5" customHeight="1" x14ac:dyDescent="0.3"/>
    <row r="1561" ht="205.5" customHeight="1" x14ac:dyDescent="0.3"/>
    <row r="1562" ht="205.5" customHeight="1" x14ac:dyDescent="0.3"/>
    <row r="1563" ht="205.5" customHeight="1" x14ac:dyDescent="0.3"/>
    <row r="1564" ht="205.5" customHeight="1" x14ac:dyDescent="0.3"/>
    <row r="1565" ht="205.5" customHeight="1" x14ac:dyDescent="0.3"/>
    <row r="1566" ht="205.5" customHeight="1" x14ac:dyDescent="0.3"/>
    <row r="1567" ht="205.5" customHeight="1" x14ac:dyDescent="0.3"/>
    <row r="1568" ht="205.5" customHeight="1" x14ac:dyDescent="0.3"/>
    <row r="1569" ht="205.5" customHeight="1" x14ac:dyDescent="0.3"/>
    <row r="1570" ht="205.5" customHeight="1" x14ac:dyDescent="0.3"/>
    <row r="1571" ht="205.5" customHeight="1" x14ac:dyDescent="0.3"/>
    <row r="1572" ht="205.5" customHeight="1" x14ac:dyDescent="0.3"/>
    <row r="1573" ht="205.5" customHeight="1" x14ac:dyDescent="0.3"/>
    <row r="1574" ht="205.5" customHeight="1" x14ac:dyDescent="0.3"/>
    <row r="1575" ht="205.5" customHeight="1" x14ac:dyDescent="0.3"/>
    <row r="1576" ht="205.5" customHeight="1" x14ac:dyDescent="0.3"/>
    <row r="1577" ht="205.5" customHeight="1" x14ac:dyDescent="0.3"/>
    <row r="1578" ht="205.5" customHeight="1" x14ac:dyDescent="0.3"/>
    <row r="1579" ht="205.5" customHeight="1" x14ac:dyDescent="0.3"/>
    <row r="1580" ht="205.5" customHeight="1" x14ac:dyDescent="0.3"/>
    <row r="1581" ht="205.5" customHeight="1" x14ac:dyDescent="0.3"/>
    <row r="1582" ht="205.5" customHeight="1" x14ac:dyDescent="0.3"/>
    <row r="1583" ht="205.5" customHeight="1" x14ac:dyDescent="0.3"/>
    <row r="1584" ht="205.5" customHeight="1" x14ac:dyDescent="0.3"/>
    <row r="1585" ht="205.5" customHeight="1" x14ac:dyDescent="0.3"/>
    <row r="1586" ht="205.5" customHeight="1" x14ac:dyDescent="0.3"/>
    <row r="1587" ht="205.5" customHeight="1" x14ac:dyDescent="0.3"/>
    <row r="1588" ht="205.5" customHeight="1" x14ac:dyDescent="0.3"/>
    <row r="1589" ht="205.5" customHeight="1" x14ac:dyDescent="0.3"/>
    <row r="1590" ht="205.5" customHeight="1" x14ac:dyDescent="0.3"/>
    <row r="1591" ht="205.5" customHeight="1" x14ac:dyDescent="0.3"/>
    <row r="1592" ht="205.5" customHeight="1" x14ac:dyDescent="0.3"/>
    <row r="1593" ht="205.5" customHeight="1" x14ac:dyDescent="0.3"/>
    <row r="1594" ht="205.5" customHeight="1" x14ac:dyDescent="0.3"/>
    <row r="1595" ht="205.5" customHeight="1" x14ac:dyDescent="0.3"/>
    <row r="1596" ht="205.5" customHeight="1" x14ac:dyDescent="0.3"/>
    <row r="1597" ht="205.5" customHeight="1" x14ac:dyDescent="0.3"/>
    <row r="1598" ht="205.5" customHeight="1" x14ac:dyDescent="0.3"/>
    <row r="1599" ht="205.5" customHeight="1" x14ac:dyDescent="0.3"/>
    <row r="1600" ht="205.5" customHeight="1" x14ac:dyDescent="0.3"/>
    <row r="1601" ht="205.5" customHeight="1" x14ac:dyDescent="0.3"/>
    <row r="1602" ht="205.5" customHeight="1" x14ac:dyDescent="0.3"/>
    <row r="1603" ht="205.5" customHeight="1" x14ac:dyDescent="0.3"/>
    <row r="1604" ht="205.5" customHeight="1" x14ac:dyDescent="0.3"/>
    <row r="1605" ht="205.5" customHeight="1" x14ac:dyDescent="0.3"/>
    <row r="1606" ht="205.5" customHeight="1" x14ac:dyDescent="0.3"/>
    <row r="1607" ht="205.5" customHeight="1" x14ac:dyDescent="0.3"/>
    <row r="1608" ht="205.5" customHeight="1" x14ac:dyDescent="0.3"/>
    <row r="1609" ht="205.5" customHeight="1" x14ac:dyDescent="0.3"/>
    <row r="1610" ht="205.5" customHeight="1" x14ac:dyDescent="0.3"/>
    <row r="1611" ht="205.5" customHeight="1" x14ac:dyDescent="0.3"/>
    <row r="1612" ht="205.5" customHeight="1" x14ac:dyDescent="0.3"/>
    <row r="1613" ht="205.5" customHeight="1" x14ac:dyDescent="0.3"/>
    <row r="1614" ht="205.5" customHeight="1" x14ac:dyDescent="0.3"/>
    <row r="1615" ht="205.5" customHeight="1" x14ac:dyDescent="0.3"/>
    <row r="1616" ht="205.5" customHeight="1" x14ac:dyDescent="0.3"/>
    <row r="1617" ht="205.5" customHeight="1" x14ac:dyDescent="0.3"/>
    <row r="1618" ht="205.5" customHeight="1" x14ac:dyDescent="0.3"/>
    <row r="1619" ht="205.5" customHeight="1" x14ac:dyDescent="0.3"/>
    <row r="1620" ht="205.5" customHeight="1" x14ac:dyDescent="0.3"/>
    <row r="1621" ht="205.5" customHeight="1" x14ac:dyDescent="0.3"/>
    <row r="1622" ht="205.5" customHeight="1" x14ac:dyDescent="0.3"/>
    <row r="1623" ht="205.5" customHeight="1" x14ac:dyDescent="0.3"/>
    <row r="1624" ht="205.5" customHeight="1" x14ac:dyDescent="0.3"/>
    <row r="1625" ht="205.5" customHeight="1" x14ac:dyDescent="0.3"/>
    <row r="1626" ht="205.5" customHeight="1" x14ac:dyDescent="0.3"/>
    <row r="1627" ht="205.5" customHeight="1" x14ac:dyDescent="0.3"/>
    <row r="1628" ht="205.5" customHeight="1" x14ac:dyDescent="0.3"/>
    <row r="1629" ht="205.5" customHeight="1" x14ac:dyDescent="0.3"/>
    <row r="1630" ht="205.5" customHeight="1" x14ac:dyDescent="0.3"/>
    <row r="1631" ht="205.5" customHeight="1" x14ac:dyDescent="0.3"/>
    <row r="1632" ht="205.5" customHeight="1" x14ac:dyDescent="0.3"/>
    <row r="1633" ht="205.5" customHeight="1" x14ac:dyDescent="0.3"/>
    <row r="1634" ht="205.5" customHeight="1" x14ac:dyDescent="0.3"/>
    <row r="1635" ht="205.5" customHeight="1" x14ac:dyDescent="0.3"/>
    <row r="1636" ht="205.5" customHeight="1" x14ac:dyDescent="0.3"/>
    <row r="1637" ht="205.5" customHeight="1" x14ac:dyDescent="0.3"/>
    <row r="1638" ht="205.5" customHeight="1" x14ac:dyDescent="0.3"/>
    <row r="1639" ht="205.5" customHeight="1" x14ac:dyDescent="0.3"/>
    <row r="1640" ht="205.5" customHeight="1" x14ac:dyDescent="0.3"/>
    <row r="1641" ht="205.5" customHeight="1" x14ac:dyDescent="0.3"/>
    <row r="1642" ht="205.5" customHeight="1" x14ac:dyDescent="0.3"/>
    <row r="1643" ht="205.5" customHeight="1" x14ac:dyDescent="0.3"/>
    <row r="1644" ht="205.5" customHeight="1" x14ac:dyDescent="0.3"/>
    <row r="1645" ht="205.5" customHeight="1" x14ac:dyDescent="0.3"/>
    <row r="1646" ht="205.5" customHeight="1" x14ac:dyDescent="0.3"/>
    <row r="1647" ht="205.5" customHeight="1" x14ac:dyDescent="0.3"/>
    <row r="1648" ht="205.5" customHeight="1" x14ac:dyDescent="0.3"/>
    <row r="1649" ht="205.5" customHeight="1" x14ac:dyDescent="0.3"/>
    <row r="1650" ht="205.5" customHeight="1" x14ac:dyDescent="0.3"/>
    <row r="1651" ht="205.5" customHeight="1" x14ac:dyDescent="0.3"/>
    <row r="1652" ht="205.5" customHeight="1" x14ac:dyDescent="0.3"/>
    <row r="1653" ht="205.5" customHeight="1" x14ac:dyDescent="0.3"/>
    <row r="1654" ht="205.5" customHeight="1" x14ac:dyDescent="0.3"/>
    <row r="1655" ht="205.5" customHeight="1" x14ac:dyDescent="0.3"/>
    <row r="1656" ht="205.5" customHeight="1" x14ac:dyDescent="0.3"/>
    <row r="1657" ht="205.5" customHeight="1" x14ac:dyDescent="0.3"/>
    <row r="1658" ht="205.5" customHeight="1" x14ac:dyDescent="0.3"/>
    <row r="1659" ht="205.5" customHeight="1" x14ac:dyDescent="0.3"/>
    <row r="1660" ht="205.5" customHeight="1" x14ac:dyDescent="0.3"/>
    <row r="1661" ht="205.5" customHeight="1" x14ac:dyDescent="0.3"/>
    <row r="1662" ht="205.5" customHeight="1" x14ac:dyDescent="0.3"/>
    <row r="1663" ht="205.5" customHeight="1" x14ac:dyDescent="0.3"/>
    <row r="1664" ht="205.5" customHeight="1" x14ac:dyDescent="0.3"/>
    <row r="1665" ht="205.5" customHeight="1" x14ac:dyDescent="0.3"/>
    <row r="1666" ht="205.5" customHeight="1" x14ac:dyDescent="0.3"/>
    <row r="1667" ht="205.5" customHeight="1" x14ac:dyDescent="0.3"/>
    <row r="1668" ht="205.5" customHeight="1" x14ac:dyDescent="0.3"/>
    <row r="1669" ht="205.5" customHeight="1" x14ac:dyDescent="0.3"/>
    <row r="1670" ht="205.5" customHeight="1" x14ac:dyDescent="0.3"/>
    <row r="1671" ht="205.5" customHeight="1" x14ac:dyDescent="0.3"/>
    <row r="1672" ht="205.5" customHeight="1" x14ac:dyDescent="0.3"/>
    <row r="1673" ht="205.5" customHeight="1" x14ac:dyDescent="0.3"/>
    <row r="1674" ht="205.5" customHeight="1" x14ac:dyDescent="0.3"/>
    <row r="1675" ht="205.5" customHeight="1" x14ac:dyDescent="0.3"/>
    <row r="1676" ht="205.5" customHeight="1" x14ac:dyDescent="0.3"/>
    <row r="1677" ht="205.5" customHeight="1" x14ac:dyDescent="0.3"/>
    <row r="1678" ht="205.5" customHeight="1" x14ac:dyDescent="0.3"/>
    <row r="1679" ht="205.5" customHeight="1" x14ac:dyDescent="0.3"/>
    <row r="1680" ht="205.5" customHeight="1" x14ac:dyDescent="0.3"/>
    <row r="1681" ht="205.5" customHeight="1" x14ac:dyDescent="0.3"/>
    <row r="1682" ht="205.5" customHeight="1" x14ac:dyDescent="0.3"/>
    <row r="1683" ht="205.5" customHeight="1" x14ac:dyDescent="0.3"/>
    <row r="1684" ht="205.5" customHeight="1" x14ac:dyDescent="0.3"/>
    <row r="1685" ht="205.5" customHeight="1" x14ac:dyDescent="0.3"/>
    <row r="1686" ht="205.5" customHeight="1" x14ac:dyDescent="0.3"/>
    <row r="1687" ht="205.5" customHeight="1" x14ac:dyDescent="0.3"/>
    <row r="1688" ht="205.5" customHeight="1" x14ac:dyDescent="0.3"/>
    <row r="1689" ht="205.5" customHeight="1" x14ac:dyDescent="0.3"/>
    <row r="1690" ht="205.5" customHeight="1" x14ac:dyDescent="0.3"/>
    <row r="1691" ht="205.5" customHeight="1" x14ac:dyDescent="0.3"/>
    <row r="1692" ht="205.5" customHeight="1" x14ac:dyDescent="0.3"/>
    <row r="1693" ht="205.5" customHeight="1" x14ac:dyDescent="0.3"/>
    <row r="1694" ht="205.5" customHeight="1" x14ac:dyDescent="0.3"/>
    <row r="1695" ht="205.5" customHeight="1" x14ac:dyDescent="0.3"/>
    <row r="1696" ht="205.5" customHeight="1" x14ac:dyDescent="0.3"/>
    <row r="1697" ht="205.5" customHeight="1" x14ac:dyDescent="0.3"/>
    <row r="1698" ht="205.5" customHeight="1" x14ac:dyDescent="0.3"/>
    <row r="1699" ht="205.5" customHeight="1" x14ac:dyDescent="0.3"/>
    <row r="1700" ht="205.5" customHeight="1" x14ac:dyDescent="0.3"/>
    <row r="1701" ht="205.5" customHeight="1" x14ac:dyDescent="0.3"/>
    <row r="1702" ht="205.5" customHeight="1" x14ac:dyDescent="0.3"/>
    <row r="1703" ht="205.5" customHeight="1" x14ac:dyDescent="0.3"/>
    <row r="1704" ht="205.5" customHeight="1" x14ac:dyDescent="0.3"/>
    <row r="1705" ht="205.5" customHeight="1" x14ac:dyDescent="0.3"/>
    <row r="1706" ht="205.5" customHeight="1" x14ac:dyDescent="0.3"/>
    <row r="1707" ht="205.5" customHeight="1" x14ac:dyDescent="0.3"/>
    <row r="1708" ht="205.5" customHeight="1" x14ac:dyDescent="0.3"/>
    <row r="1709" ht="205.5" customHeight="1" x14ac:dyDescent="0.3"/>
    <row r="1710" ht="205.5" customHeight="1" x14ac:dyDescent="0.3"/>
    <row r="1711" ht="205.5" customHeight="1" x14ac:dyDescent="0.3"/>
    <row r="1712" ht="205.5" customHeight="1" x14ac:dyDescent="0.3"/>
    <row r="1713" ht="205.5" customHeight="1" x14ac:dyDescent="0.3"/>
    <row r="1714" ht="205.5" customHeight="1" x14ac:dyDescent="0.3"/>
    <row r="1715" ht="205.5" customHeight="1" x14ac:dyDescent="0.3"/>
    <row r="1716" ht="205.5" customHeight="1" x14ac:dyDescent="0.3"/>
    <row r="1717" ht="205.5" customHeight="1" x14ac:dyDescent="0.3"/>
    <row r="1718" ht="205.5" customHeight="1" x14ac:dyDescent="0.3"/>
    <row r="1719" ht="205.5" customHeight="1" x14ac:dyDescent="0.3"/>
    <row r="1720" ht="205.5" customHeight="1" x14ac:dyDescent="0.3"/>
    <row r="1721" ht="205.5" customHeight="1" x14ac:dyDescent="0.3"/>
    <row r="1722" ht="205.5" customHeight="1" x14ac:dyDescent="0.3"/>
    <row r="1723" ht="205.5" customHeight="1" x14ac:dyDescent="0.3"/>
    <row r="1724" ht="205.5" customHeight="1" x14ac:dyDescent="0.3"/>
    <row r="1725" ht="205.5" customHeight="1" x14ac:dyDescent="0.3"/>
    <row r="1726" ht="205.5" customHeight="1" x14ac:dyDescent="0.3"/>
    <row r="1727" ht="205.5" customHeight="1" x14ac:dyDescent="0.3"/>
    <row r="1728" ht="205.5" customHeight="1" x14ac:dyDescent="0.3"/>
    <row r="1729" ht="205.5" customHeight="1" x14ac:dyDescent="0.3"/>
    <row r="1730" ht="205.5" customHeight="1" x14ac:dyDescent="0.3"/>
    <row r="1731" ht="205.5" customHeight="1" x14ac:dyDescent="0.3"/>
    <row r="1732" ht="205.5" customHeight="1" x14ac:dyDescent="0.3"/>
    <row r="1733" ht="205.5" customHeight="1" x14ac:dyDescent="0.3"/>
    <row r="1734" ht="205.5" customHeight="1" x14ac:dyDescent="0.3"/>
    <row r="1735" ht="205.5" customHeight="1" x14ac:dyDescent="0.3"/>
    <row r="1736" ht="205.5" customHeight="1" x14ac:dyDescent="0.3"/>
    <row r="1737" ht="205.5" customHeight="1" x14ac:dyDescent="0.3"/>
    <row r="1738" ht="205.5" customHeight="1" x14ac:dyDescent="0.3"/>
    <row r="1739" ht="205.5" customHeight="1" x14ac:dyDescent="0.3"/>
    <row r="1740" ht="205.5" customHeight="1" x14ac:dyDescent="0.3"/>
    <row r="1741" ht="205.5" customHeight="1" x14ac:dyDescent="0.3"/>
    <row r="1742" ht="205.5" customHeight="1" x14ac:dyDescent="0.3"/>
    <row r="1743" ht="205.5" customHeight="1" x14ac:dyDescent="0.3"/>
    <row r="1744" ht="205.5" customHeight="1" x14ac:dyDescent="0.3"/>
    <row r="1745" ht="205.5" customHeight="1" x14ac:dyDescent="0.3"/>
    <row r="1746" ht="205.5" customHeight="1" x14ac:dyDescent="0.3"/>
    <row r="1747" ht="205.5" customHeight="1" x14ac:dyDescent="0.3"/>
    <row r="1748" ht="205.5" customHeight="1" x14ac:dyDescent="0.3"/>
    <row r="1749" ht="205.5" customHeight="1" x14ac:dyDescent="0.3"/>
    <row r="1750" ht="205.5" customHeight="1" x14ac:dyDescent="0.3"/>
    <row r="1751" ht="205.5" customHeight="1" x14ac:dyDescent="0.3"/>
    <row r="1752" ht="205.5" customHeight="1" x14ac:dyDescent="0.3"/>
    <row r="1753" ht="205.5" customHeight="1" x14ac:dyDescent="0.3"/>
    <row r="1754" ht="205.5" customHeight="1" x14ac:dyDescent="0.3"/>
    <row r="1755" ht="205.5" customHeight="1" x14ac:dyDescent="0.3"/>
    <row r="1756" ht="205.5" customHeight="1" x14ac:dyDescent="0.3"/>
    <row r="1757" ht="205.5" customHeight="1" x14ac:dyDescent="0.3"/>
    <row r="1758" ht="205.5" customHeight="1" x14ac:dyDescent="0.3"/>
    <row r="1759" ht="205.5" customHeight="1" x14ac:dyDescent="0.3"/>
    <row r="1760" ht="205.5" customHeight="1" x14ac:dyDescent="0.3"/>
    <row r="1761" ht="205.5" customHeight="1" x14ac:dyDescent="0.3"/>
    <row r="1762" ht="205.5" customHeight="1" x14ac:dyDescent="0.3"/>
    <row r="1763" ht="205.5" customHeight="1" x14ac:dyDescent="0.3"/>
    <row r="1764" ht="205.5" customHeight="1" x14ac:dyDescent="0.3"/>
    <row r="1765" ht="205.5" customHeight="1" x14ac:dyDescent="0.3"/>
    <row r="1766" ht="205.5" customHeight="1" x14ac:dyDescent="0.3"/>
    <row r="1767" ht="205.5" customHeight="1" x14ac:dyDescent="0.3"/>
    <row r="1768" ht="205.5" customHeight="1" x14ac:dyDescent="0.3"/>
    <row r="1769" ht="205.5" customHeight="1" x14ac:dyDescent="0.3"/>
    <row r="1770" ht="205.5" customHeight="1" x14ac:dyDescent="0.3"/>
    <row r="1771" ht="205.5" customHeight="1" x14ac:dyDescent="0.3"/>
    <row r="1772" ht="205.5" customHeight="1" x14ac:dyDescent="0.3"/>
    <row r="1773" ht="205.5" customHeight="1" x14ac:dyDescent="0.3"/>
    <row r="1774" ht="205.5" customHeight="1" x14ac:dyDescent="0.3"/>
    <row r="1775" ht="205.5" customHeight="1" x14ac:dyDescent="0.3"/>
    <row r="1776" ht="205.5" customHeight="1" x14ac:dyDescent="0.3"/>
    <row r="1777" ht="205.5" customHeight="1" x14ac:dyDescent="0.3"/>
    <row r="1778" ht="205.5" customHeight="1" x14ac:dyDescent="0.3"/>
    <row r="1779" ht="205.5" customHeight="1" x14ac:dyDescent="0.3"/>
    <row r="1780" ht="205.5" customHeight="1" x14ac:dyDescent="0.3"/>
    <row r="1781" ht="205.5" customHeight="1" x14ac:dyDescent="0.3"/>
    <row r="1782" ht="205.5" customHeight="1" x14ac:dyDescent="0.3"/>
    <row r="1783" ht="205.5" customHeight="1" x14ac:dyDescent="0.3"/>
    <row r="1784" ht="205.5" customHeight="1" x14ac:dyDescent="0.3"/>
    <row r="1785" ht="205.5" customHeight="1" x14ac:dyDescent="0.3"/>
    <row r="1786" ht="205.5" customHeight="1" x14ac:dyDescent="0.3"/>
    <row r="1787" ht="205.5" customHeight="1" x14ac:dyDescent="0.3"/>
    <row r="1788" ht="205.5" customHeight="1" x14ac:dyDescent="0.3"/>
    <row r="1789" ht="205.5" customHeight="1" x14ac:dyDescent="0.3"/>
    <row r="1790" ht="205.5" customHeight="1" x14ac:dyDescent="0.3"/>
    <row r="1791" ht="205.5" customHeight="1" x14ac:dyDescent="0.3"/>
    <row r="1792" ht="205.5" customHeight="1" x14ac:dyDescent="0.3"/>
    <row r="1793" ht="205.5" customHeight="1" x14ac:dyDescent="0.3"/>
    <row r="1794" ht="205.5" customHeight="1" x14ac:dyDescent="0.3"/>
    <row r="1795" ht="205.5" customHeight="1" x14ac:dyDescent="0.3"/>
    <row r="1796" ht="205.5" customHeight="1" x14ac:dyDescent="0.3"/>
    <row r="1797" ht="205.5" customHeight="1" x14ac:dyDescent="0.3"/>
    <row r="1798" ht="205.5" customHeight="1" x14ac:dyDescent="0.3"/>
    <row r="1799" ht="205.5" customHeight="1" x14ac:dyDescent="0.3"/>
    <row r="1800" ht="205.5" customHeight="1" x14ac:dyDescent="0.3"/>
    <row r="1801" ht="205.5" customHeight="1" x14ac:dyDescent="0.3"/>
    <row r="1802" ht="205.5" customHeight="1" x14ac:dyDescent="0.3"/>
    <row r="1803" ht="205.5" customHeight="1" x14ac:dyDescent="0.3"/>
    <row r="1804" ht="205.5" customHeight="1" x14ac:dyDescent="0.3"/>
    <row r="1805" ht="205.5" customHeight="1" x14ac:dyDescent="0.3"/>
    <row r="1806" ht="205.5" customHeight="1" x14ac:dyDescent="0.3"/>
    <row r="1807" ht="205.5" customHeight="1" x14ac:dyDescent="0.3"/>
    <row r="1808" ht="205.5" customHeight="1" x14ac:dyDescent="0.3"/>
    <row r="1809" ht="205.5" customHeight="1" x14ac:dyDescent="0.3"/>
    <row r="1810" ht="205.5" customHeight="1" x14ac:dyDescent="0.3"/>
    <row r="1811" ht="205.5" customHeight="1" x14ac:dyDescent="0.3"/>
    <row r="1812" ht="205.5" customHeight="1" x14ac:dyDescent="0.3"/>
    <row r="1813" ht="205.5" customHeight="1" x14ac:dyDescent="0.3"/>
    <row r="1814" ht="205.5" customHeight="1" x14ac:dyDescent="0.3"/>
    <row r="1815" ht="205.5" customHeight="1" x14ac:dyDescent="0.3"/>
    <row r="1816" ht="205.5" customHeight="1" x14ac:dyDescent="0.3"/>
    <row r="1817" ht="205.5" customHeight="1" x14ac:dyDescent="0.3"/>
    <row r="1818" ht="205.5" customHeight="1" x14ac:dyDescent="0.3"/>
    <row r="1819" ht="205.5" customHeight="1" x14ac:dyDescent="0.3"/>
    <row r="1820" ht="205.5" customHeight="1" x14ac:dyDescent="0.3"/>
    <row r="1821" ht="205.5" customHeight="1" x14ac:dyDescent="0.3"/>
    <row r="1822" ht="205.5" customHeight="1" x14ac:dyDescent="0.3"/>
    <row r="1823" ht="205.5" customHeight="1" x14ac:dyDescent="0.3"/>
    <row r="1824" ht="205.5" customHeight="1" x14ac:dyDescent="0.3"/>
    <row r="1825" ht="205.5" customHeight="1" x14ac:dyDescent="0.3"/>
    <row r="1826" ht="205.5" customHeight="1" x14ac:dyDescent="0.3"/>
    <row r="1827" ht="205.5" customHeight="1" x14ac:dyDescent="0.3"/>
    <row r="1828" ht="205.5" customHeight="1" x14ac:dyDescent="0.3"/>
    <row r="1829" ht="205.5" customHeight="1" x14ac:dyDescent="0.3"/>
    <row r="1830" ht="205.5" customHeight="1" x14ac:dyDescent="0.3"/>
    <row r="1831" ht="205.5" customHeight="1" x14ac:dyDescent="0.3"/>
    <row r="1832" ht="205.5" customHeight="1" x14ac:dyDescent="0.3"/>
    <row r="1833" ht="205.5" customHeight="1" x14ac:dyDescent="0.3"/>
    <row r="1834" ht="205.5" customHeight="1" x14ac:dyDescent="0.3"/>
    <row r="1835" ht="205.5" customHeight="1" x14ac:dyDescent="0.3"/>
    <row r="1836" ht="205.5" customHeight="1" x14ac:dyDescent="0.3"/>
    <row r="1837" ht="205.5" customHeight="1" x14ac:dyDescent="0.3"/>
    <row r="1838" ht="205.5" customHeight="1" x14ac:dyDescent="0.3"/>
    <row r="1839" ht="205.5" customHeight="1" x14ac:dyDescent="0.3"/>
    <row r="1840" ht="205.5" customHeight="1" x14ac:dyDescent="0.3"/>
    <row r="1841" ht="205.5" customHeight="1" x14ac:dyDescent="0.3"/>
    <row r="1842" ht="205.5" customHeight="1" x14ac:dyDescent="0.3"/>
    <row r="1843" ht="205.5" customHeight="1" x14ac:dyDescent="0.3"/>
    <row r="1844" ht="205.5" customHeight="1" x14ac:dyDescent="0.3"/>
    <row r="1845" ht="205.5" customHeight="1" x14ac:dyDescent="0.3"/>
    <row r="1846" ht="205.5" customHeight="1" x14ac:dyDescent="0.3"/>
    <row r="1847" ht="205.5" customHeight="1" x14ac:dyDescent="0.3"/>
    <row r="1848" ht="205.5" customHeight="1" x14ac:dyDescent="0.3"/>
    <row r="1849" ht="205.5" customHeight="1" x14ac:dyDescent="0.3"/>
    <row r="1850" ht="205.5" customHeight="1" x14ac:dyDescent="0.3"/>
    <row r="1851" ht="205.5" customHeight="1" x14ac:dyDescent="0.3"/>
    <row r="1852" ht="205.5" customHeight="1" x14ac:dyDescent="0.3"/>
    <row r="1853" ht="205.5" customHeight="1" x14ac:dyDescent="0.3"/>
    <row r="1854" ht="205.5" customHeight="1" x14ac:dyDescent="0.3"/>
    <row r="1855" ht="205.5" customHeight="1" x14ac:dyDescent="0.3"/>
    <row r="1856" ht="205.5" customHeight="1" x14ac:dyDescent="0.3"/>
    <row r="1857" ht="205.5" customHeight="1" x14ac:dyDescent="0.3"/>
    <row r="1858" ht="205.5" customHeight="1" x14ac:dyDescent="0.3"/>
    <row r="1859" ht="205.5" customHeight="1" x14ac:dyDescent="0.3"/>
    <row r="1860" ht="205.5" customHeight="1" x14ac:dyDescent="0.3"/>
    <row r="1861" ht="205.5" customHeight="1" x14ac:dyDescent="0.3"/>
    <row r="1862" ht="205.5" customHeight="1" x14ac:dyDescent="0.3"/>
    <row r="1863" ht="205.5" customHeight="1" x14ac:dyDescent="0.3"/>
    <row r="1864" ht="205.5" customHeight="1" x14ac:dyDescent="0.3"/>
    <row r="1865" ht="205.5" customHeight="1" x14ac:dyDescent="0.3"/>
    <row r="1866" ht="205.5" customHeight="1" x14ac:dyDescent="0.3"/>
    <row r="1867" ht="205.5" customHeight="1" x14ac:dyDescent="0.3"/>
    <row r="1868" ht="205.5" customHeight="1" x14ac:dyDescent="0.3"/>
    <row r="1869" ht="205.5" customHeight="1" x14ac:dyDescent="0.3"/>
    <row r="1870" ht="205.5" customHeight="1" x14ac:dyDescent="0.3"/>
    <row r="1871" ht="205.5" customHeight="1" x14ac:dyDescent="0.3"/>
    <row r="1872" ht="205.5" customHeight="1" x14ac:dyDescent="0.3"/>
    <row r="1873" ht="205.5" customHeight="1" x14ac:dyDescent="0.3"/>
    <row r="1874" ht="205.5" customHeight="1" x14ac:dyDescent="0.3"/>
    <row r="1875" ht="205.5" customHeight="1" x14ac:dyDescent="0.3"/>
    <row r="1876" ht="205.5" customHeight="1" x14ac:dyDescent="0.3"/>
    <row r="1877" ht="205.5" customHeight="1" x14ac:dyDescent="0.3"/>
    <row r="1878" ht="205.5" customHeight="1" x14ac:dyDescent="0.3"/>
    <row r="1879" ht="205.5" customHeight="1" x14ac:dyDescent="0.3"/>
    <row r="1880" ht="205.5" customHeight="1" x14ac:dyDescent="0.3"/>
    <row r="1881" ht="205.5" customHeight="1" x14ac:dyDescent="0.3"/>
    <row r="1882" ht="205.5" customHeight="1" x14ac:dyDescent="0.3"/>
    <row r="1883" ht="205.5" customHeight="1" x14ac:dyDescent="0.3"/>
    <row r="1884" ht="205.5" customHeight="1" x14ac:dyDescent="0.3"/>
    <row r="1885" ht="205.5" customHeight="1" x14ac:dyDescent="0.3"/>
    <row r="1886" ht="205.5" customHeight="1" x14ac:dyDescent="0.3"/>
    <row r="1887" ht="205.5" customHeight="1" x14ac:dyDescent="0.3"/>
    <row r="1888" ht="205.5" customHeight="1" x14ac:dyDescent="0.3"/>
    <row r="1889" ht="205.5" customHeight="1" x14ac:dyDescent="0.3"/>
    <row r="1890" ht="205.5" customHeight="1" x14ac:dyDescent="0.3"/>
    <row r="1891" ht="205.5" customHeight="1" x14ac:dyDescent="0.3"/>
    <row r="1892" ht="205.5" customHeight="1" x14ac:dyDescent="0.3"/>
    <row r="1893" ht="205.5" customHeight="1" x14ac:dyDescent="0.3"/>
    <row r="1894" ht="205.5" customHeight="1" x14ac:dyDescent="0.3"/>
    <row r="1895" ht="205.5" customHeight="1" x14ac:dyDescent="0.3"/>
    <row r="1896" ht="205.5" customHeight="1" x14ac:dyDescent="0.3"/>
    <row r="1897" ht="205.5" customHeight="1" x14ac:dyDescent="0.3"/>
    <row r="1898" ht="205.5" customHeight="1" x14ac:dyDescent="0.3"/>
    <row r="1899" ht="205.5" customHeight="1" x14ac:dyDescent="0.3"/>
    <row r="1900" ht="205.5" customHeight="1" x14ac:dyDescent="0.3"/>
    <row r="1901" ht="205.5" customHeight="1" x14ac:dyDescent="0.3"/>
    <row r="1902" ht="205.5" customHeight="1" x14ac:dyDescent="0.3"/>
    <row r="1903" ht="205.5" customHeight="1" x14ac:dyDescent="0.3"/>
    <row r="1904" ht="205.5" customHeight="1" x14ac:dyDescent="0.3"/>
    <row r="1905" ht="205.5" customHeight="1" x14ac:dyDescent="0.3"/>
    <row r="1906" ht="205.5" customHeight="1" x14ac:dyDescent="0.3"/>
    <row r="1907" ht="205.5" customHeight="1" x14ac:dyDescent="0.3"/>
    <row r="1908" ht="205.5" customHeight="1" x14ac:dyDescent="0.3"/>
    <row r="1909" ht="205.5" customHeight="1" x14ac:dyDescent="0.3"/>
    <row r="1910" ht="205.5" customHeight="1" x14ac:dyDescent="0.3"/>
    <row r="1911" ht="205.5" customHeight="1" x14ac:dyDescent="0.3"/>
    <row r="1912" ht="205.5" customHeight="1" x14ac:dyDescent="0.3"/>
    <row r="1913" ht="205.5" customHeight="1" x14ac:dyDescent="0.3"/>
    <row r="1914" ht="205.5" customHeight="1" x14ac:dyDescent="0.3"/>
    <row r="1915" ht="205.5" customHeight="1" x14ac:dyDescent="0.3"/>
    <row r="1916" ht="205.5" customHeight="1" x14ac:dyDescent="0.3"/>
    <row r="1917" ht="205.5" customHeight="1" x14ac:dyDescent="0.3"/>
    <row r="1918" ht="205.5" customHeight="1" x14ac:dyDescent="0.3"/>
    <row r="1919" ht="205.5" customHeight="1" x14ac:dyDescent="0.3"/>
    <row r="1920" ht="205.5" customHeight="1" x14ac:dyDescent="0.3"/>
    <row r="1921" ht="205.5" customHeight="1" x14ac:dyDescent="0.3"/>
    <row r="1922" ht="205.5" customHeight="1" x14ac:dyDescent="0.3"/>
    <row r="1923" ht="205.5" customHeight="1" x14ac:dyDescent="0.3"/>
    <row r="1924" ht="205.5" customHeight="1" x14ac:dyDescent="0.3"/>
    <row r="1925" ht="205.5" customHeight="1" x14ac:dyDescent="0.3"/>
    <row r="1926" ht="205.5" customHeight="1" x14ac:dyDescent="0.3"/>
    <row r="1927" ht="205.5" customHeight="1" x14ac:dyDescent="0.3"/>
    <row r="1928" ht="205.5" customHeight="1" x14ac:dyDescent="0.3"/>
    <row r="1929" ht="205.5" customHeight="1" x14ac:dyDescent="0.3"/>
    <row r="1930" ht="205.5" customHeight="1" x14ac:dyDescent="0.3"/>
    <row r="1931" ht="205.5" customHeight="1" x14ac:dyDescent="0.3"/>
    <row r="1932" ht="205.5" customHeight="1" x14ac:dyDescent="0.3"/>
    <row r="1933" ht="205.5" customHeight="1" x14ac:dyDescent="0.3"/>
    <row r="1934" ht="205.5" customHeight="1" x14ac:dyDescent="0.3"/>
    <row r="1935" ht="205.5" customHeight="1" x14ac:dyDescent="0.3"/>
    <row r="1936" ht="205.5" customHeight="1" x14ac:dyDescent="0.3"/>
    <row r="1937" ht="205.5" customHeight="1" x14ac:dyDescent="0.3"/>
    <row r="1938" ht="205.5" customHeight="1" x14ac:dyDescent="0.3"/>
    <row r="1939" ht="205.5" customHeight="1" x14ac:dyDescent="0.3"/>
    <row r="1940" ht="205.5" customHeight="1" x14ac:dyDescent="0.3"/>
    <row r="1941" ht="205.5" customHeight="1" x14ac:dyDescent="0.3"/>
    <row r="1942" ht="205.5" customHeight="1" x14ac:dyDescent="0.3"/>
    <row r="1943" ht="205.5" customHeight="1" x14ac:dyDescent="0.3"/>
    <row r="1944" ht="205.5" customHeight="1" x14ac:dyDescent="0.3"/>
    <row r="1945" ht="205.5" customHeight="1" x14ac:dyDescent="0.3"/>
    <row r="1946" ht="205.5" customHeight="1" x14ac:dyDescent="0.3"/>
    <row r="1947" ht="205.5" customHeight="1" x14ac:dyDescent="0.3"/>
    <row r="1948" ht="205.5" customHeight="1" x14ac:dyDescent="0.3"/>
    <row r="1949" ht="205.5" customHeight="1" x14ac:dyDescent="0.3"/>
    <row r="1950" ht="205.5" customHeight="1" x14ac:dyDescent="0.3"/>
    <row r="1951" ht="205.5" customHeight="1" x14ac:dyDescent="0.3"/>
    <row r="1952" ht="205.5" customHeight="1" x14ac:dyDescent="0.3"/>
    <row r="1953" ht="205.5" customHeight="1" x14ac:dyDescent="0.3"/>
    <row r="1954" ht="205.5" customHeight="1" x14ac:dyDescent="0.3"/>
    <row r="1955" ht="205.5" customHeight="1" x14ac:dyDescent="0.3"/>
    <row r="1956" ht="205.5" customHeight="1" x14ac:dyDescent="0.3"/>
    <row r="1957" ht="205.5" customHeight="1" x14ac:dyDescent="0.3"/>
    <row r="1958" ht="205.5" customHeight="1" x14ac:dyDescent="0.3"/>
    <row r="1959" ht="205.5" customHeight="1" x14ac:dyDescent="0.3"/>
    <row r="1960" ht="205.5" customHeight="1" x14ac:dyDescent="0.3"/>
    <row r="1961" ht="205.5" customHeight="1" x14ac:dyDescent="0.3"/>
    <row r="1962" ht="205.5" customHeight="1" x14ac:dyDescent="0.3"/>
    <row r="1963" ht="205.5" customHeight="1" x14ac:dyDescent="0.3"/>
    <row r="1964" ht="205.5" customHeight="1" x14ac:dyDescent="0.3"/>
    <row r="1965" ht="205.5" customHeight="1" x14ac:dyDescent="0.3"/>
    <row r="1966" ht="205.5" customHeight="1" x14ac:dyDescent="0.3"/>
    <row r="1967" ht="205.5" customHeight="1" x14ac:dyDescent="0.3"/>
    <row r="1968" ht="205.5" customHeight="1" x14ac:dyDescent="0.3"/>
    <row r="1969" ht="205.5" customHeight="1" x14ac:dyDescent="0.3"/>
    <row r="1970" ht="205.5" customHeight="1" x14ac:dyDescent="0.3"/>
    <row r="1971" ht="205.5" customHeight="1" x14ac:dyDescent="0.3"/>
    <row r="1972" ht="205.5" customHeight="1" x14ac:dyDescent="0.3"/>
    <row r="1973" ht="205.5" customHeight="1" x14ac:dyDescent="0.3"/>
    <row r="1974" ht="205.5" customHeight="1" x14ac:dyDescent="0.3"/>
    <row r="1975" ht="205.5" customHeight="1" x14ac:dyDescent="0.3"/>
    <row r="1976" ht="205.5" customHeight="1" x14ac:dyDescent="0.3"/>
    <row r="1977" ht="205.5" customHeight="1" x14ac:dyDescent="0.3"/>
    <row r="1978" ht="205.5" customHeight="1" x14ac:dyDescent="0.3"/>
    <row r="1979" ht="205.5" customHeight="1" x14ac:dyDescent="0.3"/>
    <row r="1980" ht="205.5" customHeight="1" x14ac:dyDescent="0.3"/>
    <row r="1981" ht="205.5" customHeight="1" x14ac:dyDescent="0.3"/>
    <row r="1982" ht="205.5" customHeight="1" x14ac:dyDescent="0.3"/>
    <row r="1983" ht="205.5" customHeight="1" x14ac:dyDescent="0.3"/>
    <row r="1984" ht="205.5" customHeight="1" x14ac:dyDescent="0.3"/>
    <row r="1985" ht="205.5" customHeight="1" x14ac:dyDescent="0.3"/>
    <row r="1986" ht="205.5" customHeight="1" x14ac:dyDescent="0.3"/>
    <row r="1987" ht="205.5" customHeight="1" x14ac:dyDescent="0.3"/>
    <row r="1988" ht="205.5" customHeight="1" x14ac:dyDescent="0.3"/>
    <row r="1989" ht="205.5" customHeight="1" x14ac:dyDescent="0.3"/>
    <row r="1990" ht="205.5" customHeight="1" x14ac:dyDescent="0.3"/>
    <row r="1991" ht="205.5" customHeight="1" x14ac:dyDescent="0.3"/>
    <row r="1992" ht="205.5" customHeight="1" x14ac:dyDescent="0.3"/>
    <row r="1993" ht="205.5" customHeight="1" x14ac:dyDescent="0.3"/>
    <row r="1994" ht="205.5" customHeight="1" x14ac:dyDescent="0.3"/>
    <row r="1995" ht="205.5" customHeight="1" x14ac:dyDescent="0.3"/>
    <row r="1996" ht="205.5" customHeight="1" x14ac:dyDescent="0.3"/>
    <row r="1997" ht="205.5" customHeight="1" x14ac:dyDescent="0.3"/>
    <row r="1998" ht="205.5" customHeight="1" x14ac:dyDescent="0.3"/>
    <row r="1999" ht="205.5" customHeight="1" x14ac:dyDescent="0.3"/>
    <row r="2000" ht="205.5" customHeight="1" x14ac:dyDescent="0.3"/>
    <row r="2001" ht="205.5" customHeight="1" x14ac:dyDescent="0.3"/>
    <row r="2002" ht="205.5" customHeight="1" x14ac:dyDescent="0.3"/>
    <row r="2003" ht="205.5" customHeight="1" x14ac:dyDescent="0.3"/>
    <row r="2004" ht="205.5" customHeight="1" x14ac:dyDescent="0.3"/>
    <row r="2005" ht="205.5" customHeight="1" x14ac:dyDescent="0.3"/>
    <row r="2006" ht="205.5" customHeight="1" x14ac:dyDescent="0.3"/>
    <row r="2007" ht="205.5" customHeight="1" x14ac:dyDescent="0.3"/>
    <row r="2008" ht="205.5" customHeight="1" x14ac:dyDescent="0.3"/>
    <row r="2009" ht="205.5" customHeight="1" x14ac:dyDescent="0.3"/>
    <row r="2010" ht="205.5" customHeight="1" x14ac:dyDescent="0.3"/>
    <row r="2011" ht="205.5" customHeight="1" x14ac:dyDescent="0.3"/>
    <row r="2012" ht="205.5" customHeight="1" x14ac:dyDescent="0.3"/>
    <row r="2013" ht="205.5" customHeight="1" x14ac:dyDescent="0.3"/>
    <row r="2014" ht="205.5" customHeight="1" x14ac:dyDescent="0.3"/>
    <row r="2015" ht="205.5" customHeight="1" x14ac:dyDescent="0.3"/>
    <row r="2016" ht="205.5" customHeight="1" x14ac:dyDescent="0.3"/>
    <row r="2017" ht="205.5" customHeight="1" x14ac:dyDescent="0.3"/>
    <row r="2018" ht="205.5" customHeight="1" x14ac:dyDescent="0.3"/>
    <row r="2019" ht="205.5" customHeight="1" x14ac:dyDescent="0.3"/>
    <row r="2020" ht="205.5" customHeight="1" x14ac:dyDescent="0.3"/>
    <row r="2021" ht="205.5" customHeight="1" x14ac:dyDescent="0.3"/>
    <row r="2022" ht="205.5" customHeight="1" x14ac:dyDescent="0.3"/>
    <row r="2023" ht="205.5" customHeight="1" x14ac:dyDescent="0.3"/>
    <row r="2024" ht="205.5" customHeight="1" x14ac:dyDescent="0.3"/>
    <row r="2025" ht="205.5" customHeight="1" x14ac:dyDescent="0.3"/>
    <row r="2026" ht="205.5" customHeight="1" x14ac:dyDescent="0.3"/>
    <row r="2027" ht="205.5" customHeight="1" x14ac:dyDescent="0.3"/>
    <row r="2028" ht="205.5" customHeight="1" x14ac:dyDescent="0.3"/>
    <row r="2029" ht="205.5" customHeight="1" x14ac:dyDescent="0.3"/>
    <row r="2030" ht="205.5" customHeight="1" x14ac:dyDescent="0.3"/>
    <row r="2031" ht="205.5" customHeight="1" x14ac:dyDescent="0.3"/>
    <row r="2032" ht="205.5" customHeight="1" x14ac:dyDescent="0.3"/>
    <row r="2033" ht="205.5" customHeight="1" x14ac:dyDescent="0.3"/>
    <row r="2034" ht="205.5" customHeight="1" x14ac:dyDescent="0.3"/>
    <row r="2035" ht="205.5" customHeight="1" x14ac:dyDescent="0.3"/>
    <row r="2036" ht="205.5" customHeight="1" x14ac:dyDescent="0.3"/>
    <row r="2037" ht="205.5" customHeight="1" x14ac:dyDescent="0.3"/>
    <row r="2038" ht="205.5" customHeight="1" x14ac:dyDescent="0.3"/>
    <row r="2039" ht="205.5" customHeight="1" x14ac:dyDescent="0.3"/>
    <row r="2040" ht="205.5" customHeight="1" x14ac:dyDescent="0.3"/>
    <row r="2041" ht="205.5" customHeight="1" x14ac:dyDescent="0.3"/>
    <row r="2042" ht="205.5" customHeight="1" x14ac:dyDescent="0.3"/>
    <row r="2043" ht="205.5" customHeight="1" x14ac:dyDescent="0.3"/>
    <row r="2044" ht="205.5" customHeight="1" x14ac:dyDescent="0.3"/>
    <row r="2045" ht="205.5" customHeight="1" x14ac:dyDescent="0.3"/>
    <row r="2046" ht="205.5" customHeight="1" x14ac:dyDescent="0.3"/>
    <row r="2047" ht="205.5" customHeight="1" x14ac:dyDescent="0.3"/>
    <row r="2048" ht="205.5" customHeight="1" x14ac:dyDescent="0.3"/>
    <row r="2049" ht="205.5" customHeight="1" x14ac:dyDescent="0.3"/>
    <row r="2050" ht="205.5" customHeight="1" x14ac:dyDescent="0.3"/>
    <row r="2051" ht="205.5" customHeight="1" x14ac:dyDescent="0.3"/>
    <row r="2052" ht="205.5" customHeight="1" x14ac:dyDescent="0.3"/>
    <row r="2053" ht="205.5" customHeight="1" x14ac:dyDescent="0.3"/>
    <row r="2054" ht="205.5" customHeight="1" x14ac:dyDescent="0.3"/>
    <row r="2055" ht="205.5" customHeight="1" x14ac:dyDescent="0.3"/>
    <row r="2056" ht="205.5" customHeight="1" x14ac:dyDescent="0.3"/>
    <row r="2057" ht="205.5" customHeight="1" x14ac:dyDescent="0.3"/>
    <row r="2058" ht="205.5" customHeight="1" x14ac:dyDescent="0.3"/>
    <row r="2059" ht="205.5" customHeight="1" x14ac:dyDescent="0.3"/>
    <row r="2060" ht="205.5" customHeight="1" x14ac:dyDescent="0.3"/>
    <row r="2061" ht="205.5" customHeight="1" x14ac:dyDescent="0.3"/>
    <row r="2062" ht="205.5" customHeight="1" x14ac:dyDescent="0.3"/>
    <row r="2063" ht="205.5" customHeight="1" x14ac:dyDescent="0.3"/>
    <row r="2064" ht="205.5" customHeight="1" x14ac:dyDescent="0.3"/>
    <row r="2065" ht="205.5" customHeight="1" x14ac:dyDescent="0.3"/>
    <row r="2066" ht="205.5" customHeight="1" x14ac:dyDescent="0.3"/>
    <row r="2067" ht="205.5" customHeight="1" x14ac:dyDescent="0.3"/>
    <row r="2068" ht="205.5" customHeight="1" x14ac:dyDescent="0.3"/>
    <row r="2069" ht="205.5" customHeight="1" x14ac:dyDescent="0.3"/>
    <row r="2070" ht="205.5" customHeight="1" x14ac:dyDescent="0.3"/>
    <row r="2071" ht="205.5" customHeight="1" x14ac:dyDescent="0.3"/>
    <row r="2072" ht="205.5" customHeight="1" x14ac:dyDescent="0.3"/>
    <row r="2073" ht="205.5" customHeight="1" x14ac:dyDescent="0.3"/>
    <row r="2074" ht="205.5" customHeight="1" x14ac:dyDescent="0.3"/>
    <row r="2075" ht="205.5" customHeight="1" x14ac:dyDescent="0.3"/>
    <row r="2076" ht="205.5" customHeight="1" x14ac:dyDescent="0.3"/>
    <row r="2077" ht="205.5" customHeight="1" x14ac:dyDescent="0.3"/>
    <row r="2078" ht="205.5" customHeight="1" x14ac:dyDescent="0.3"/>
    <row r="2079" ht="205.5" customHeight="1" x14ac:dyDescent="0.3"/>
    <row r="2080" ht="205.5" customHeight="1" x14ac:dyDescent="0.3"/>
    <row r="2081" ht="205.5" customHeight="1" x14ac:dyDescent="0.3"/>
    <row r="2082" ht="205.5" customHeight="1" x14ac:dyDescent="0.3"/>
    <row r="2083" ht="205.5" customHeight="1" x14ac:dyDescent="0.3"/>
    <row r="2084" ht="205.5" customHeight="1" x14ac:dyDescent="0.3"/>
    <row r="2085" ht="205.5" customHeight="1" x14ac:dyDescent="0.3"/>
    <row r="2086" ht="205.5" customHeight="1" x14ac:dyDescent="0.3"/>
    <row r="2087" ht="205.5" customHeight="1" x14ac:dyDescent="0.3"/>
    <row r="2088" ht="205.5" customHeight="1" x14ac:dyDescent="0.3"/>
    <row r="2089" ht="205.5" customHeight="1" x14ac:dyDescent="0.3"/>
    <row r="2090" ht="205.5" customHeight="1" x14ac:dyDescent="0.3"/>
    <row r="2091" ht="205.5" customHeight="1" x14ac:dyDescent="0.3"/>
    <row r="2092" ht="205.5" customHeight="1" x14ac:dyDescent="0.3"/>
    <row r="2093" ht="205.5" customHeight="1" x14ac:dyDescent="0.3"/>
    <row r="2094" ht="205.5" customHeight="1" x14ac:dyDescent="0.3"/>
    <row r="2095" ht="205.5" customHeight="1" x14ac:dyDescent="0.3"/>
    <row r="2096" ht="205.5" customHeight="1" x14ac:dyDescent="0.3"/>
    <row r="2097" ht="205.5" customHeight="1" x14ac:dyDescent="0.3"/>
    <row r="2098" ht="205.5" customHeight="1" x14ac:dyDescent="0.3"/>
    <row r="2099" ht="205.5" customHeight="1" x14ac:dyDescent="0.3"/>
    <row r="2100" ht="205.5" customHeight="1" x14ac:dyDescent="0.3"/>
    <row r="2101" ht="205.5" customHeight="1" x14ac:dyDescent="0.3"/>
    <row r="2102" ht="205.5" customHeight="1" x14ac:dyDescent="0.3"/>
    <row r="2103" ht="205.5" customHeight="1" x14ac:dyDescent="0.3"/>
    <row r="2104" ht="205.5" customHeight="1" x14ac:dyDescent="0.3"/>
    <row r="2105" ht="205.5" customHeight="1" x14ac:dyDescent="0.3"/>
    <row r="2106" ht="205.5" customHeight="1" x14ac:dyDescent="0.3"/>
    <row r="2107" ht="205.5" customHeight="1" x14ac:dyDescent="0.3"/>
    <row r="2108" ht="205.5" customHeight="1" x14ac:dyDescent="0.3"/>
    <row r="2109" ht="205.5" customHeight="1" x14ac:dyDescent="0.3"/>
    <row r="2110" ht="205.5" customHeight="1" x14ac:dyDescent="0.3"/>
    <row r="2111" ht="205.5" customHeight="1" x14ac:dyDescent="0.3"/>
    <row r="2112" ht="205.5" customHeight="1" x14ac:dyDescent="0.3"/>
    <row r="2113" ht="205.5" customHeight="1" x14ac:dyDescent="0.3"/>
    <row r="2114" ht="205.5" customHeight="1" x14ac:dyDescent="0.3"/>
    <row r="2115" ht="205.5" customHeight="1" x14ac:dyDescent="0.3"/>
    <row r="2116" ht="205.5" customHeight="1" x14ac:dyDescent="0.3"/>
    <row r="2117" ht="205.5" customHeight="1" x14ac:dyDescent="0.3"/>
    <row r="2118" ht="205.5" customHeight="1" x14ac:dyDescent="0.3"/>
    <row r="2119" ht="205.5" customHeight="1" x14ac:dyDescent="0.3"/>
    <row r="2120" ht="205.5" customHeight="1" x14ac:dyDescent="0.3"/>
    <row r="2121" ht="205.5" customHeight="1" x14ac:dyDescent="0.3"/>
    <row r="2122" ht="205.5" customHeight="1" x14ac:dyDescent="0.3"/>
    <row r="2123" ht="205.5" customHeight="1" x14ac:dyDescent="0.3"/>
    <row r="2124" ht="205.5" customHeight="1" x14ac:dyDescent="0.3"/>
    <row r="2125" ht="205.5" customHeight="1" x14ac:dyDescent="0.3"/>
    <row r="2126" ht="205.5" customHeight="1" x14ac:dyDescent="0.3"/>
    <row r="2127" ht="205.5" customHeight="1" x14ac:dyDescent="0.3"/>
    <row r="2128" ht="205.5" customHeight="1" x14ac:dyDescent="0.3"/>
    <row r="2129" ht="205.5" customHeight="1" x14ac:dyDescent="0.3"/>
    <row r="2130" ht="205.5" customHeight="1" x14ac:dyDescent="0.3"/>
    <row r="2131" ht="205.5" customHeight="1" x14ac:dyDescent="0.3"/>
    <row r="2132" ht="205.5" customHeight="1" x14ac:dyDescent="0.3"/>
    <row r="2133" ht="205.5" customHeight="1" x14ac:dyDescent="0.3"/>
    <row r="2134" ht="205.5" customHeight="1" x14ac:dyDescent="0.3"/>
    <row r="2135" ht="205.5" customHeight="1" x14ac:dyDescent="0.3"/>
    <row r="2136" ht="205.5" customHeight="1" x14ac:dyDescent="0.3"/>
    <row r="2137" ht="205.5" customHeight="1" x14ac:dyDescent="0.3"/>
    <row r="2138" ht="205.5" customHeight="1" x14ac:dyDescent="0.3"/>
    <row r="2139" ht="205.5" customHeight="1" x14ac:dyDescent="0.3"/>
    <row r="2140" ht="205.5" customHeight="1" x14ac:dyDescent="0.3"/>
    <row r="2141" ht="205.5" customHeight="1" x14ac:dyDescent="0.3"/>
    <row r="2142" ht="205.5" customHeight="1" x14ac:dyDescent="0.3"/>
    <row r="2143" ht="205.5" customHeight="1" x14ac:dyDescent="0.3"/>
    <row r="2144" ht="205.5" customHeight="1" x14ac:dyDescent="0.3"/>
    <row r="2145" ht="205.5" customHeight="1" x14ac:dyDescent="0.3"/>
    <row r="2146" ht="205.5" customHeight="1" x14ac:dyDescent="0.3"/>
    <row r="2147" ht="205.5" customHeight="1" x14ac:dyDescent="0.3"/>
    <row r="2148" ht="205.5" customHeight="1" x14ac:dyDescent="0.3"/>
    <row r="2149" ht="205.5" customHeight="1" x14ac:dyDescent="0.3"/>
    <row r="2150" ht="205.5" customHeight="1" x14ac:dyDescent="0.3"/>
    <row r="2151" ht="205.5" customHeight="1" x14ac:dyDescent="0.3"/>
    <row r="2152" ht="205.5" customHeight="1" x14ac:dyDescent="0.3"/>
    <row r="2153" ht="205.5" customHeight="1" x14ac:dyDescent="0.3"/>
    <row r="2154" ht="205.5" customHeight="1" x14ac:dyDescent="0.3"/>
    <row r="2155" ht="205.5" customHeight="1" x14ac:dyDescent="0.3"/>
    <row r="2156" ht="205.5" customHeight="1" x14ac:dyDescent="0.3"/>
    <row r="2157" ht="205.5" customHeight="1" x14ac:dyDescent="0.3"/>
    <row r="2158" ht="205.5" customHeight="1" x14ac:dyDescent="0.3"/>
    <row r="2159" ht="205.5" customHeight="1" x14ac:dyDescent="0.3"/>
    <row r="2160" ht="205.5" customHeight="1" x14ac:dyDescent="0.3"/>
    <row r="2161" ht="205.5" customHeight="1" x14ac:dyDescent="0.3"/>
    <row r="2162" ht="205.5" customHeight="1" x14ac:dyDescent="0.3"/>
    <row r="2163" ht="205.5" customHeight="1" x14ac:dyDescent="0.3"/>
    <row r="2164" ht="205.5" customHeight="1" x14ac:dyDescent="0.3"/>
    <row r="2165" ht="205.5" customHeight="1" x14ac:dyDescent="0.3"/>
    <row r="2166" ht="205.5" customHeight="1" x14ac:dyDescent="0.3"/>
    <row r="2167" ht="205.5" customHeight="1" x14ac:dyDescent="0.3"/>
    <row r="2168" ht="205.5" customHeight="1" x14ac:dyDescent="0.3"/>
    <row r="2169" ht="205.5" customHeight="1" x14ac:dyDescent="0.3"/>
    <row r="2170" ht="205.5" customHeight="1" x14ac:dyDescent="0.3"/>
    <row r="2171" ht="205.5" customHeight="1" x14ac:dyDescent="0.3"/>
    <row r="2172" ht="205.5" customHeight="1" x14ac:dyDescent="0.3"/>
    <row r="2173" ht="205.5" customHeight="1" x14ac:dyDescent="0.3"/>
    <row r="2174" ht="205.5" customHeight="1" x14ac:dyDescent="0.3"/>
    <row r="2175" ht="205.5" customHeight="1" x14ac:dyDescent="0.3"/>
    <row r="2176" ht="205.5" customHeight="1" x14ac:dyDescent="0.3"/>
    <row r="2177" ht="205.5" customHeight="1" x14ac:dyDescent="0.3"/>
    <row r="2178" ht="205.5" customHeight="1" x14ac:dyDescent="0.3"/>
    <row r="2179" ht="205.5" customHeight="1" x14ac:dyDescent="0.3"/>
    <row r="2180" ht="205.5" customHeight="1" x14ac:dyDescent="0.3"/>
    <row r="2181" ht="205.5" customHeight="1" x14ac:dyDescent="0.3"/>
    <row r="2182" ht="205.5" customHeight="1" x14ac:dyDescent="0.3"/>
    <row r="2183" ht="205.5" customHeight="1" x14ac:dyDescent="0.3"/>
    <row r="2184" ht="205.5" customHeight="1" x14ac:dyDescent="0.3"/>
    <row r="2185" ht="205.5" customHeight="1" x14ac:dyDescent="0.3"/>
    <row r="2186" ht="205.5" customHeight="1" x14ac:dyDescent="0.3"/>
    <row r="2187" ht="205.5" customHeight="1" x14ac:dyDescent="0.3"/>
    <row r="2188" ht="205.5" customHeight="1" x14ac:dyDescent="0.3"/>
    <row r="2189" ht="205.5" customHeight="1" x14ac:dyDescent="0.3"/>
    <row r="2190" ht="205.5" customHeight="1" x14ac:dyDescent="0.3"/>
    <row r="2191" ht="205.5" customHeight="1" x14ac:dyDescent="0.3"/>
    <row r="2192" ht="205.5" customHeight="1" x14ac:dyDescent="0.3"/>
    <row r="2193" ht="205.5" customHeight="1" x14ac:dyDescent="0.3"/>
    <row r="2194" ht="205.5" customHeight="1" x14ac:dyDescent="0.3"/>
    <row r="2195" ht="205.5" customHeight="1" x14ac:dyDescent="0.3"/>
    <row r="2196" ht="205.5" customHeight="1" x14ac:dyDescent="0.3"/>
    <row r="2197" ht="205.5" customHeight="1" x14ac:dyDescent="0.3"/>
    <row r="2198" ht="205.5" customHeight="1" x14ac:dyDescent="0.3"/>
    <row r="2199" ht="205.5" customHeight="1" x14ac:dyDescent="0.3"/>
    <row r="2200" ht="205.5" customHeight="1" x14ac:dyDescent="0.3"/>
    <row r="2201" ht="205.5" customHeight="1" x14ac:dyDescent="0.3"/>
    <row r="2202" ht="205.5" customHeight="1" x14ac:dyDescent="0.3"/>
    <row r="2203" ht="205.5" customHeight="1" x14ac:dyDescent="0.3"/>
    <row r="2204" ht="205.5" customHeight="1" x14ac:dyDescent="0.3"/>
    <row r="2205" ht="205.5" customHeight="1" x14ac:dyDescent="0.3"/>
    <row r="2206" ht="205.5" customHeight="1" x14ac:dyDescent="0.3"/>
    <row r="2207" ht="205.5" customHeight="1" x14ac:dyDescent="0.3"/>
    <row r="2208" ht="205.5" customHeight="1" x14ac:dyDescent="0.3"/>
    <row r="2209" ht="205.5" customHeight="1" x14ac:dyDescent="0.3"/>
    <row r="2210" ht="205.5" customHeight="1" x14ac:dyDescent="0.3"/>
    <row r="2211" ht="205.5" customHeight="1" x14ac:dyDescent="0.3"/>
    <row r="2212" ht="205.5" customHeight="1" x14ac:dyDescent="0.3"/>
    <row r="2213" ht="205.5" customHeight="1" x14ac:dyDescent="0.3"/>
    <row r="2214" ht="205.5" customHeight="1" x14ac:dyDescent="0.3"/>
    <row r="2215" ht="205.5" customHeight="1" x14ac:dyDescent="0.3"/>
    <row r="2216" ht="205.5" customHeight="1" x14ac:dyDescent="0.3"/>
    <row r="2217" ht="205.5" customHeight="1" x14ac:dyDescent="0.3"/>
    <row r="2218" ht="205.5" customHeight="1" x14ac:dyDescent="0.3"/>
    <row r="2219" ht="205.5" customHeight="1" x14ac:dyDescent="0.3"/>
    <row r="2220" ht="205.5" customHeight="1" x14ac:dyDescent="0.3"/>
    <row r="2221" ht="205.5" customHeight="1" x14ac:dyDescent="0.3"/>
    <row r="2222" ht="205.5" customHeight="1" x14ac:dyDescent="0.3"/>
    <row r="2223" ht="205.5" customHeight="1" x14ac:dyDescent="0.3"/>
    <row r="2224" ht="205.5" customHeight="1" x14ac:dyDescent="0.3"/>
    <row r="2225" ht="205.5" customHeight="1" x14ac:dyDescent="0.3"/>
    <row r="2226" ht="205.5" customHeight="1" x14ac:dyDescent="0.3"/>
    <row r="2227" ht="205.5" customHeight="1" x14ac:dyDescent="0.3"/>
    <row r="2228" ht="205.5" customHeight="1" x14ac:dyDescent="0.3"/>
    <row r="2229" ht="205.5" customHeight="1" x14ac:dyDescent="0.3"/>
    <row r="2230" ht="205.5" customHeight="1" x14ac:dyDescent="0.3"/>
    <row r="2231" ht="205.5" customHeight="1" x14ac:dyDescent="0.3"/>
    <row r="2232" ht="205.5" customHeight="1" x14ac:dyDescent="0.3"/>
    <row r="2233" ht="205.5" customHeight="1" x14ac:dyDescent="0.3"/>
    <row r="2234" ht="205.5" customHeight="1" x14ac:dyDescent="0.3"/>
    <row r="2235" ht="205.5" customHeight="1" x14ac:dyDescent="0.3"/>
    <row r="2236" ht="205.5" customHeight="1" x14ac:dyDescent="0.3"/>
    <row r="2237" ht="205.5" customHeight="1" x14ac:dyDescent="0.3"/>
    <row r="2238" ht="205.5" customHeight="1" x14ac:dyDescent="0.3"/>
    <row r="2239" ht="205.5" customHeight="1" x14ac:dyDescent="0.3"/>
    <row r="2240" ht="205.5" customHeight="1" x14ac:dyDescent="0.3"/>
    <row r="2241" ht="205.5" customHeight="1" x14ac:dyDescent="0.3"/>
    <row r="2242" ht="205.5" customHeight="1" x14ac:dyDescent="0.3"/>
    <row r="2243" ht="205.5" customHeight="1" x14ac:dyDescent="0.3"/>
    <row r="2244" ht="205.5" customHeight="1" x14ac:dyDescent="0.3"/>
    <row r="2245" ht="205.5" customHeight="1" x14ac:dyDescent="0.3"/>
    <row r="2246" ht="205.5" customHeight="1" x14ac:dyDescent="0.3"/>
    <row r="2247" ht="205.5" customHeight="1" x14ac:dyDescent="0.3"/>
    <row r="2248" ht="205.5" customHeight="1" x14ac:dyDescent="0.3"/>
    <row r="2249" ht="205.5" customHeight="1" x14ac:dyDescent="0.3"/>
    <row r="2250" ht="205.5" customHeight="1" x14ac:dyDescent="0.3"/>
    <row r="2251" ht="205.5" customHeight="1" x14ac:dyDescent="0.3"/>
    <row r="2252" ht="205.5" customHeight="1" x14ac:dyDescent="0.3"/>
    <row r="2253" ht="205.5" customHeight="1" x14ac:dyDescent="0.3"/>
    <row r="2254" ht="205.5" customHeight="1" x14ac:dyDescent="0.3"/>
    <row r="2255" ht="205.5" customHeight="1" x14ac:dyDescent="0.3"/>
    <row r="2256" ht="205.5" customHeight="1" x14ac:dyDescent="0.3"/>
    <row r="2257" ht="205.5" customHeight="1" x14ac:dyDescent="0.3"/>
    <row r="2258" ht="205.5" customHeight="1" x14ac:dyDescent="0.3"/>
    <row r="2259" ht="205.5" customHeight="1" x14ac:dyDescent="0.3"/>
    <row r="2260" ht="205.5" customHeight="1" x14ac:dyDescent="0.3"/>
    <row r="2261" ht="205.5" customHeight="1" x14ac:dyDescent="0.3"/>
    <row r="2262" ht="205.5" customHeight="1" x14ac:dyDescent="0.3"/>
    <row r="2263" ht="205.5" customHeight="1" x14ac:dyDescent="0.3"/>
    <row r="2264" ht="205.5" customHeight="1" x14ac:dyDescent="0.3"/>
    <row r="2265" ht="205.5" customHeight="1" x14ac:dyDescent="0.3"/>
    <row r="2266" ht="205.5" customHeight="1" x14ac:dyDescent="0.3"/>
    <row r="2267" ht="205.5" customHeight="1" x14ac:dyDescent="0.3"/>
    <row r="2268" ht="205.5" customHeight="1" x14ac:dyDescent="0.3"/>
    <row r="2269" ht="205.5" customHeight="1" x14ac:dyDescent="0.3"/>
    <row r="2270" ht="205.5" customHeight="1" x14ac:dyDescent="0.3"/>
    <row r="2271" ht="205.5" customHeight="1" x14ac:dyDescent="0.3"/>
    <row r="2272" ht="205.5" customHeight="1" x14ac:dyDescent="0.3"/>
    <row r="2273" ht="205.5" customHeight="1" x14ac:dyDescent="0.3"/>
    <row r="2274" ht="205.5" customHeight="1" x14ac:dyDescent="0.3"/>
    <row r="2275" ht="205.5" customHeight="1" x14ac:dyDescent="0.3"/>
    <row r="2276" ht="205.5" customHeight="1" x14ac:dyDescent="0.3"/>
    <row r="2277" ht="205.5" customHeight="1" x14ac:dyDescent="0.3"/>
    <row r="2278" ht="205.5" customHeight="1" x14ac:dyDescent="0.3"/>
    <row r="2279" ht="205.5" customHeight="1" x14ac:dyDescent="0.3"/>
    <row r="2280" ht="205.5" customHeight="1" x14ac:dyDescent="0.3"/>
    <row r="2281" ht="205.5" customHeight="1" x14ac:dyDescent="0.3"/>
    <row r="2282" ht="205.5" customHeight="1" x14ac:dyDescent="0.3"/>
    <row r="2283" ht="205.5" customHeight="1" x14ac:dyDescent="0.3"/>
    <row r="2284" ht="205.5" customHeight="1" x14ac:dyDescent="0.3"/>
    <row r="2285" ht="205.5" customHeight="1" x14ac:dyDescent="0.3"/>
    <row r="2286" ht="205.5" customHeight="1" x14ac:dyDescent="0.3"/>
    <row r="2287" ht="205.5" customHeight="1" x14ac:dyDescent="0.3"/>
    <row r="2288" ht="205.5" customHeight="1" x14ac:dyDescent="0.3"/>
    <row r="2289" ht="205.5" customHeight="1" x14ac:dyDescent="0.3"/>
    <row r="2290" ht="205.5" customHeight="1" x14ac:dyDescent="0.3"/>
    <row r="2291" ht="205.5" customHeight="1" x14ac:dyDescent="0.3"/>
    <row r="2292" ht="205.5" customHeight="1" x14ac:dyDescent="0.3"/>
    <row r="2293" ht="205.5" customHeight="1" x14ac:dyDescent="0.3"/>
    <row r="2294" ht="205.5" customHeight="1" x14ac:dyDescent="0.3"/>
    <row r="2295" ht="205.5" customHeight="1" x14ac:dyDescent="0.3"/>
    <row r="2296" ht="205.5" customHeight="1" x14ac:dyDescent="0.3"/>
    <row r="2297" ht="205.5" customHeight="1" x14ac:dyDescent="0.3"/>
    <row r="2298" ht="205.5" customHeight="1" x14ac:dyDescent="0.3"/>
    <row r="2299" ht="205.5" customHeight="1" x14ac:dyDescent="0.3"/>
    <row r="2300" ht="205.5" customHeight="1" x14ac:dyDescent="0.3"/>
    <row r="2301" ht="205.5" customHeight="1" x14ac:dyDescent="0.3"/>
    <row r="2302" ht="205.5" customHeight="1" x14ac:dyDescent="0.3"/>
    <row r="2303" ht="205.5" customHeight="1" x14ac:dyDescent="0.3"/>
    <row r="2304" ht="205.5" customHeight="1" x14ac:dyDescent="0.3"/>
    <row r="2305" ht="205.5" customHeight="1" x14ac:dyDescent="0.3"/>
    <row r="2306" ht="205.5" customHeight="1" x14ac:dyDescent="0.3"/>
    <row r="2307" ht="205.5" customHeight="1" x14ac:dyDescent="0.3"/>
    <row r="2308" ht="205.5" customHeight="1" x14ac:dyDescent="0.3"/>
    <row r="2309" ht="205.5" customHeight="1" x14ac:dyDescent="0.3"/>
    <row r="2310" ht="205.5" customHeight="1" x14ac:dyDescent="0.3"/>
    <row r="2311" ht="205.5" customHeight="1" x14ac:dyDescent="0.3"/>
    <row r="2312" ht="205.5" customHeight="1" x14ac:dyDescent="0.3"/>
    <row r="2313" ht="205.5" customHeight="1" x14ac:dyDescent="0.3"/>
    <row r="2314" ht="205.5" customHeight="1" x14ac:dyDescent="0.3"/>
    <row r="2315" ht="205.5" customHeight="1" x14ac:dyDescent="0.3"/>
    <row r="2316" ht="205.5" customHeight="1" x14ac:dyDescent="0.3"/>
    <row r="2317" ht="205.5" customHeight="1" x14ac:dyDescent="0.3"/>
    <row r="2318" ht="205.5" customHeight="1" x14ac:dyDescent="0.3"/>
    <row r="2319" ht="205.5" customHeight="1" x14ac:dyDescent="0.3"/>
    <row r="2320" ht="205.5" customHeight="1" x14ac:dyDescent="0.3"/>
    <row r="2321" ht="205.5" customHeight="1" x14ac:dyDescent="0.3"/>
    <row r="2322" ht="205.5" customHeight="1" x14ac:dyDescent="0.3"/>
    <row r="2323" ht="205.5" customHeight="1" x14ac:dyDescent="0.3"/>
    <row r="2324" ht="205.5" customHeight="1" x14ac:dyDescent="0.3"/>
    <row r="2325" ht="205.5" customHeight="1" x14ac:dyDescent="0.3"/>
    <row r="2326" ht="205.5" customHeight="1" x14ac:dyDescent="0.3"/>
    <row r="2327" ht="205.5" customHeight="1" x14ac:dyDescent="0.3"/>
    <row r="2328" ht="205.5" customHeight="1" x14ac:dyDescent="0.3"/>
    <row r="2329" ht="205.5" customHeight="1" x14ac:dyDescent="0.3"/>
    <row r="2330" ht="205.5" customHeight="1" x14ac:dyDescent="0.3"/>
    <row r="2331" ht="205.5" customHeight="1" x14ac:dyDescent="0.3"/>
    <row r="2332" ht="205.5" customHeight="1" x14ac:dyDescent="0.3"/>
    <row r="2333" ht="205.5" customHeight="1" x14ac:dyDescent="0.3"/>
    <row r="2334" ht="205.5" customHeight="1" x14ac:dyDescent="0.3"/>
    <row r="2335" ht="205.5" customHeight="1" x14ac:dyDescent="0.3"/>
    <row r="2336" ht="205.5" customHeight="1" x14ac:dyDescent="0.3"/>
    <row r="2337" ht="205.5" customHeight="1" x14ac:dyDescent="0.3"/>
    <row r="2338" ht="205.5" customHeight="1" x14ac:dyDescent="0.3"/>
    <row r="2339" ht="205.5" customHeight="1" x14ac:dyDescent="0.3"/>
    <row r="2340" ht="205.5" customHeight="1" x14ac:dyDescent="0.3"/>
    <row r="2341" ht="205.5" customHeight="1" x14ac:dyDescent="0.3"/>
    <row r="2342" ht="205.5" customHeight="1" x14ac:dyDescent="0.3"/>
    <row r="2343" ht="205.5" customHeight="1" x14ac:dyDescent="0.3"/>
    <row r="2344" ht="205.5" customHeight="1" x14ac:dyDescent="0.3"/>
    <row r="2345" ht="205.5" customHeight="1" x14ac:dyDescent="0.3"/>
    <row r="2346" ht="205.5" customHeight="1" x14ac:dyDescent="0.3"/>
    <row r="2347" ht="205.5" customHeight="1" x14ac:dyDescent="0.3"/>
    <row r="2348" ht="205.5" customHeight="1" x14ac:dyDescent="0.3"/>
    <row r="2349" ht="205.5" customHeight="1" x14ac:dyDescent="0.3"/>
    <row r="2350" ht="205.5" customHeight="1" x14ac:dyDescent="0.3"/>
    <row r="2351" ht="205.5" customHeight="1" x14ac:dyDescent="0.3"/>
    <row r="2352" ht="205.5" customHeight="1" x14ac:dyDescent="0.3"/>
    <row r="2353" ht="205.5" customHeight="1" x14ac:dyDescent="0.3"/>
    <row r="2354" ht="205.5" customHeight="1" x14ac:dyDescent="0.3"/>
    <row r="2355" ht="205.5" customHeight="1" x14ac:dyDescent="0.3"/>
    <row r="2356" ht="205.5" customHeight="1" x14ac:dyDescent="0.3"/>
    <row r="2357" ht="205.5" customHeight="1" x14ac:dyDescent="0.3"/>
    <row r="2358" ht="205.5" customHeight="1" x14ac:dyDescent="0.3"/>
    <row r="2359" ht="205.5" customHeight="1" x14ac:dyDescent="0.3"/>
    <row r="2360" ht="205.5" customHeight="1" x14ac:dyDescent="0.3"/>
    <row r="2361" ht="205.5" customHeight="1" x14ac:dyDescent="0.3"/>
    <row r="2362" ht="205.5" customHeight="1" x14ac:dyDescent="0.3"/>
    <row r="2363" ht="205.5" customHeight="1" x14ac:dyDescent="0.3"/>
    <row r="2364" ht="205.5" customHeight="1" x14ac:dyDescent="0.3"/>
    <row r="2365" ht="205.5" customHeight="1" x14ac:dyDescent="0.3"/>
    <row r="2366" ht="205.5" customHeight="1" x14ac:dyDescent="0.3"/>
    <row r="2367" ht="205.5" customHeight="1" x14ac:dyDescent="0.3"/>
    <row r="2368" ht="205.5" customHeight="1" x14ac:dyDescent="0.3"/>
    <row r="2369" ht="205.5" customHeight="1" x14ac:dyDescent="0.3"/>
    <row r="2370" ht="205.5" customHeight="1" x14ac:dyDescent="0.3"/>
    <row r="2371" ht="205.5" customHeight="1" x14ac:dyDescent="0.3"/>
    <row r="2372" ht="205.5" customHeight="1" x14ac:dyDescent="0.3"/>
    <row r="2373" ht="205.5" customHeight="1" x14ac:dyDescent="0.3"/>
    <row r="2374" ht="205.5" customHeight="1" x14ac:dyDescent="0.3"/>
    <row r="2375" ht="205.5" customHeight="1" x14ac:dyDescent="0.3"/>
    <row r="2376" ht="205.5" customHeight="1" x14ac:dyDescent="0.3"/>
    <row r="2377" ht="205.5" customHeight="1" x14ac:dyDescent="0.3"/>
    <row r="2378" ht="205.5" customHeight="1" x14ac:dyDescent="0.3"/>
    <row r="2379" ht="205.5" customHeight="1" x14ac:dyDescent="0.3"/>
    <row r="2380" ht="205.5" customHeight="1" x14ac:dyDescent="0.3"/>
    <row r="2381" ht="205.5" customHeight="1" x14ac:dyDescent="0.3"/>
    <row r="2382" ht="205.5" customHeight="1" x14ac:dyDescent="0.3"/>
    <row r="2383" ht="205.5" customHeight="1" x14ac:dyDescent="0.3"/>
    <row r="2384" ht="205.5" customHeight="1" x14ac:dyDescent="0.3"/>
    <row r="2385" ht="205.5" customHeight="1" x14ac:dyDescent="0.3"/>
    <row r="2386" ht="205.5" customHeight="1" x14ac:dyDescent="0.3"/>
    <row r="2387" ht="205.5" customHeight="1" x14ac:dyDescent="0.3"/>
    <row r="2388" ht="205.5" customHeight="1" x14ac:dyDescent="0.3"/>
    <row r="2389" ht="205.5" customHeight="1" x14ac:dyDescent="0.3"/>
    <row r="2390" ht="205.5" customHeight="1" x14ac:dyDescent="0.3"/>
    <row r="2391" ht="205.5" customHeight="1" x14ac:dyDescent="0.3"/>
    <row r="2392" ht="205.5" customHeight="1" x14ac:dyDescent="0.3"/>
    <row r="2393" ht="205.5" customHeight="1" x14ac:dyDescent="0.3"/>
    <row r="2394" ht="205.5" customHeight="1" x14ac:dyDescent="0.3"/>
    <row r="2395" ht="205.5" customHeight="1" x14ac:dyDescent="0.3"/>
    <row r="2396" ht="205.5" customHeight="1" x14ac:dyDescent="0.3"/>
    <row r="2397" ht="205.5" customHeight="1" x14ac:dyDescent="0.3"/>
    <row r="2398" ht="205.5" customHeight="1" x14ac:dyDescent="0.3"/>
    <row r="2399" ht="205.5" customHeight="1" x14ac:dyDescent="0.3"/>
    <row r="2400" ht="205.5" customHeight="1" x14ac:dyDescent="0.3"/>
    <row r="2401" ht="205.5" customHeight="1" x14ac:dyDescent="0.3"/>
    <row r="2402" ht="205.5" customHeight="1" x14ac:dyDescent="0.3"/>
    <row r="2403" ht="205.5" customHeight="1" x14ac:dyDescent="0.3"/>
    <row r="2404" ht="205.5" customHeight="1" x14ac:dyDescent="0.3"/>
    <row r="2405" ht="205.5" customHeight="1" x14ac:dyDescent="0.3"/>
    <row r="2406" ht="205.5" customHeight="1" x14ac:dyDescent="0.3"/>
    <row r="2407" ht="205.5" customHeight="1" x14ac:dyDescent="0.3"/>
    <row r="2408" ht="205.5" customHeight="1" x14ac:dyDescent="0.3"/>
    <row r="2409" ht="205.5" customHeight="1" x14ac:dyDescent="0.3"/>
    <row r="2410" ht="205.5" customHeight="1" x14ac:dyDescent="0.3"/>
    <row r="2411" ht="205.5" customHeight="1" x14ac:dyDescent="0.3"/>
    <row r="2412" ht="205.5" customHeight="1" x14ac:dyDescent="0.3"/>
    <row r="2413" ht="205.5" customHeight="1" x14ac:dyDescent="0.3"/>
    <row r="2414" ht="205.5" customHeight="1" x14ac:dyDescent="0.3"/>
    <row r="2415" ht="205.5" customHeight="1" x14ac:dyDescent="0.3"/>
    <row r="2416" ht="205.5" customHeight="1" x14ac:dyDescent="0.3"/>
    <row r="2417" ht="205.5" customHeight="1" x14ac:dyDescent="0.3"/>
    <row r="2418" ht="205.5" customHeight="1" x14ac:dyDescent="0.3"/>
    <row r="2419" ht="205.5" customHeight="1" x14ac:dyDescent="0.3"/>
    <row r="2420" ht="205.5" customHeight="1" x14ac:dyDescent="0.3"/>
    <row r="2421" ht="205.5" customHeight="1" x14ac:dyDescent="0.3"/>
    <row r="2422" ht="205.5" customHeight="1" x14ac:dyDescent="0.3"/>
    <row r="2423" ht="205.5" customHeight="1" x14ac:dyDescent="0.3"/>
    <row r="2424" ht="205.5" customHeight="1" x14ac:dyDescent="0.3"/>
    <row r="2425" ht="205.5" customHeight="1" x14ac:dyDescent="0.3"/>
    <row r="2426" ht="205.5" customHeight="1" x14ac:dyDescent="0.3"/>
    <row r="2427" ht="205.5" customHeight="1" x14ac:dyDescent="0.3"/>
    <row r="2428" ht="205.5" customHeight="1" x14ac:dyDescent="0.3"/>
    <row r="2429" ht="205.5" customHeight="1" x14ac:dyDescent="0.3"/>
    <row r="2430" ht="205.5" customHeight="1" x14ac:dyDescent="0.3"/>
    <row r="2431" ht="205.5" customHeight="1" x14ac:dyDescent="0.3"/>
    <row r="2432" ht="205.5" customHeight="1" x14ac:dyDescent="0.3"/>
    <row r="2433" ht="205.5" customHeight="1" x14ac:dyDescent="0.3"/>
    <row r="2434" ht="205.5" customHeight="1" x14ac:dyDescent="0.3"/>
    <row r="2435" ht="205.5" customHeight="1" x14ac:dyDescent="0.3"/>
    <row r="2436" ht="205.5" customHeight="1" x14ac:dyDescent="0.3"/>
    <row r="2437" ht="205.5" customHeight="1" x14ac:dyDescent="0.3"/>
    <row r="2438" ht="205.5" customHeight="1" x14ac:dyDescent="0.3"/>
    <row r="2439" ht="205.5" customHeight="1" x14ac:dyDescent="0.3"/>
    <row r="2440" ht="205.5" customHeight="1" x14ac:dyDescent="0.3"/>
    <row r="2441" ht="205.5" customHeight="1" x14ac:dyDescent="0.3"/>
    <row r="2442" ht="205.5" customHeight="1" x14ac:dyDescent="0.3"/>
    <row r="2443" ht="205.5" customHeight="1" x14ac:dyDescent="0.3"/>
    <row r="2444" ht="205.5" customHeight="1" x14ac:dyDescent="0.3"/>
    <row r="2445" ht="205.5" customHeight="1" x14ac:dyDescent="0.3"/>
    <row r="2446" ht="205.5" customHeight="1" x14ac:dyDescent="0.3"/>
    <row r="2447" ht="205.5" customHeight="1" x14ac:dyDescent="0.3"/>
    <row r="2448" ht="205.5" customHeight="1" x14ac:dyDescent="0.3"/>
    <row r="2449" ht="205.5" customHeight="1" x14ac:dyDescent="0.3"/>
    <row r="2450" ht="205.5" customHeight="1" x14ac:dyDescent="0.3"/>
    <row r="2451" ht="205.5" customHeight="1" x14ac:dyDescent="0.3"/>
    <row r="2452" ht="205.5" customHeight="1" x14ac:dyDescent="0.3"/>
    <row r="2453" ht="205.5" customHeight="1" x14ac:dyDescent="0.3"/>
    <row r="2454" ht="205.5" customHeight="1" x14ac:dyDescent="0.3"/>
    <row r="2455" ht="205.5" customHeight="1" x14ac:dyDescent="0.3"/>
    <row r="2456" ht="205.5" customHeight="1" x14ac:dyDescent="0.3"/>
    <row r="2457" ht="205.5" customHeight="1" x14ac:dyDescent="0.3"/>
    <row r="2458" ht="205.5" customHeight="1" x14ac:dyDescent="0.3"/>
    <row r="2459" ht="205.5" customHeight="1" x14ac:dyDescent="0.3"/>
    <row r="2460" ht="205.5" customHeight="1" x14ac:dyDescent="0.3"/>
    <row r="2461" ht="205.5" customHeight="1" x14ac:dyDescent="0.3"/>
    <row r="2462" ht="205.5" customHeight="1" x14ac:dyDescent="0.3"/>
    <row r="2463" ht="205.5" customHeight="1" x14ac:dyDescent="0.3"/>
    <row r="2464" ht="205.5" customHeight="1" x14ac:dyDescent="0.3"/>
    <row r="2465" ht="205.5" customHeight="1" x14ac:dyDescent="0.3"/>
    <row r="2466" ht="205.5" customHeight="1" x14ac:dyDescent="0.3"/>
    <row r="2467" ht="205.5" customHeight="1" x14ac:dyDescent="0.3"/>
    <row r="2468" ht="205.5" customHeight="1" x14ac:dyDescent="0.3"/>
    <row r="2469" ht="205.5" customHeight="1" x14ac:dyDescent="0.3"/>
    <row r="2470" ht="205.5" customHeight="1" x14ac:dyDescent="0.3"/>
    <row r="2471" ht="205.5" customHeight="1" x14ac:dyDescent="0.3"/>
    <row r="2472" ht="205.5" customHeight="1" x14ac:dyDescent="0.3"/>
    <row r="2473" ht="205.5" customHeight="1" x14ac:dyDescent="0.3"/>
    <row r="2474" ht="205.5" customHeight="1" x14ac:dyDescent="0.3"/>
    <row r="2475" ht="205.5" customHeight="1" x14ac:dyDescent="0.3"/>
    <row r="2476" ht="205.5" customHeight="1" x14ac:dyDescent="0.3"/>
    <row r="2477" ht="205.5" customHeight="1" x14ac:dyDescent="0.3"/>
    <row r="2478" ht="205.5" customHeight="1" x14ac:dyDescent="0.3"/>
    <row r="2479" ht="205.5" customHeight="1" x14ac:dyDescent="0.3"/>
    <row r="2480" ht="205.5" customHeight="1" x14ac:dyDescent="0.3"/>
    <row r="2481" ht="205.5" customHeight="1" x14ac:dyDescent="0.3"/>
    <row r="2482" ht="205.5" customHeight="1" x14ac:dyDescent="0.3"/>
    <row r="2483" ht="205.5" customHeight="1" x14ac:dyDescent="0.3"/>
    <row r="2484" ht="205.5" customHeight="1" x14ac:dyDescent="0.3"/>
    <row r="2485" ht="205.5" customHeight="1" x14ac:dyDescent="0.3"/>
    <row r="2486" ht="205.5" customHeight="1" x14ac:dyDescent="0.3"/>
    <row r="2487" ht="205.5" customHeight="1" x14ac:dyDescent="0.3"/>
    <row r="2488" ht="205.5" customHeight="1" x14ac:dyDescent="0.3"/>
    <row r="2489" ht="205.5" customHeight="1" x14ac:dyDescent="0.3"/>
    <row r="2490" ht="205.5" customHeight="1" x14ac:dyDescent="0.3"/>
    <row r="2491" ht="205.5" customHeight="1" x14ac:dyDescent="0.3"/>
    <row r="2492" ht="205.5" customHeight="1" x14ac:dyDescent="0.3"/>
    <row r="2493" ht="205.5" customHeight="1" x14ac:dyDescent="0.3"/>
    <row r="2494" ht="205.5" customHeight="1" x14ac:dyDescent="0.3"/>
    <row r="2495" ht="205.5" customHeight="1" x14ac:dyDescent="0.3"/>
    <row r="2496" ht="205.5" customHeight="1" x14ac:dyDescent="0.3"/>
    <row r="2497" ht="205.5" customHeight="1" x14ac:dyDescent="0.3"/>
    <row r="2498" ht="205.5" customHeight="1" x14ac:dyDescent="0.3"/>
    <row r="2499" ht="205.5" customHeight="1" x14ac:dyDescent="0.3"/>
    <row r="2500" ht="205.5" customHeight="1" x14ac:dyDescent="0.3"/>
    <row r="2501" ht="205.5" customHeight="1" x14ac:dyDescent="0.3"/>
    <row r="2502" ht="205.5" customHeight="1" x14ac:dyDescent="0.3"/>
    <row r="2503" ht="205.5" customHeight="1" x14ac:dyDescent="0.3"/>
    <row r="2504" ht="205.5" customHeight="1" x14ac:dyDescent="0.3"/>
    <row r="2505" ht="205.5" customHeight="1" x14ac:dyDescent="0.3"/>
    <row r="2506" ht="205.5" customHeight="1" x14ac:dyDescent="0.3"/>
    <row r="2507" ht="205.5" customHeight="1" x14ac:dyDescent="0.3"/>
    <row r="2508" ht="205.5" customHeight="1" x14ac:dyDescent="0.3"/>
    <row r="2509" ht="205.5" customHeight="1" x14ac:dyDescent="0.3"/>
    <row r="2510" ht="205.5" customHeight="1" x14ac:dyDescent="0.3"/>
    <row r="2511" ht="205.5" customHeight="1" x14ac:dyDescent="0.3"/>
    <row r="2512" ht="205.5" customHeight="1" x14ac:dyDescent="0.3"/>
    <row r="2513" ht="205.5" customHeight="1" x14ac:dyDescent="0.3"/>
    <row r="2514" ht="205.5" customHeight="1" x14ac:dyDescent="0.3"/>
    <row r="2515" ht="205.5" customHeight="1" x14ac:dyDescent="0.3"/>
    <row r="2516" ht="205.5" customHeight="1" x14ac:dyDescent="0.3"/>
    <row r="2517" ht="205.5" customHeight="1" x14ac:dyDescent="0.3"/>
    <row r="2518" ht="205.5" customHeight="1" x14ac:dyDescent="0.3"/>
    <row r="2519" ht="205.5" customHeight="1" x14ac:dyDescent="0.3"/>
    <row r="2520" ht="205.5" customHeight="1" x14ac:dyDescent="0.3"/>
    <row r="2521" ht="205.5" customHeight="1" x14ac:dyDescent="0.3"/>
    <row r="2522" ht="205.5" customHeight="1" x14ac:dyDescent="0.3"/>
    <row r="2523" ht="205.5" customHeight="1" x14ac:dyDescent="0.3"/>
    <row r="2524" ht="205.5" customHeight="1" x14ac:dyDescent="0.3"/>
    <row r="2525" ht="205.5" customHeight="1" x14ac:dyDescent="0.3"/>
    <row r="2526" ht="205.5" customHeight="1" x14ac:dyDescent="0.3"/>
    <row r="2527" ht="205.5" customHeight="1" x14ac:dyDescent="0.3"/>
    <row r="2528" ht="205.5" customHeight="1" x14ac:dyDescent="0.3"/>
    <row r="2529" ht="205.5" customHeight="1" x14ac:dyDescent="0.3"/>
    <row r="2530" ht="205.5" customHeight="1" x14ac:dyDescent="0.3"/>
    <row r="2531" ht="205.5" customHeight="1" x14ac:dyDescent="0.3"/>
    <row r="2532" ht="205.5" customHeight="1" x14ac:dyDescent="0.3"/>
    <row r="2533" ht="205.5" customHeight="1" x14ac:dyDescent="0.3"/>
    <row r="2534" ht="205.5" customHeight="1" x14ac:dyDescent="0.3"/>
    <row r="2535" ht="205.5" customHeight="1" x14ac:dyDescent="0.3"/>
    <row r="2536" ht="205.5" customHeight="1" x14ac:dyDescent="0.3"/>
    <row r="2537" ht="205.5" customHeight="1" x14ac:dyDescent="0.3"/>
    <row r="2538" ht="205.5" customHeight="1" x14ac:dyDescent="0.3"/>
    <row r="2539" ht="205.5" customHeight="1" x14ac:dyDescent="0.3"/>
    <row r="2540" ht="205.5" customHeight="1" x14ac:dyDescent="0.3"/>
    <row r="2541" ht="205.5" customHeight="1" x14ac:dyDescent="0.3"/>
    <row r="2542" ht="205.5" customHeight="1" x14ac:dyDescent="0.3"/>
    <row r="2543" ht="205.5" customHeight="1" x14ac:dyDescent="0.3"/>
    <row r="2544" ht="205.5" customHeight="1" x14ac:dyDescent="0.3"/>
    <row r="2545" ht="205.5" customHeight="1" x14ac:dyDescent="0.3"/>
    <row r="2546" ht="205.5" customHeight="1" x14ac:dyDescent="0.3"/>
    <row r="2547" ht="205.5" customHeight="1" x14ac:dyDescent="0.3"/>
    <row r="2548" ht="205.5" customHeight="1" x14ac:dyDescent="0.3"/>
    <row r="2549" ht="205.5" customHeight="1" x14ac:dyDescent="0.3"/>
    <row r="2550" ht="205.5" customHeight="1" x14ac:dyDescent="0.3"/>
    <row r="2551" ht="205.5" customHeight="1" x14ac:dyDescent="0.3"/>
    <row r="2552" ht="205.5" customHeight="1" x14ac:dyDescent="0.3"/>
    <row r="2553" ht="205.5" customHeight="1" x14ac:dyDescent="0.3"/>
    <row r="2554" ht="205.5" customHeight="1" x14ac:dyDescent="0.3"/>
    <row r="2555" ht="205.5" customHeight="1" x14ac:dyDescent="0.3"/>
    <row r="2556" ht="205.5" customHeight="1" x14ac:dyDescent="0.3"/>
    <row r="2557" ht="205.5" customHeight="1" x14ac:dyDescent="0.3"/>
    <row r="2558" ht="205.5" customHeight="1" x14ac:dyDescent="0.3"/>
    <row r="2559" ht="205.5" customHeight="1" x14ac:dyDescent="0.3"/>
    <row r="2560" ht="205.5" customHeight="1" x14ac:dyDescent="0.3"/>
    <row r="2561" ht="205.5" customHeight="1" x14ac:dyDescent="0.3"/>
    <row r="2562" ht="205.5" customHeight="1" x14ac:dyDescent="0.3"/>
    <row r="2563" ht="205.5" customHeight="1" x14ac:dyDescent="0.3"/>
    <row r="2564" ht="205.5" customHeight="1" x14ac:dyDescent="0.3"/>
    <row r="2565" ht="205.5" customHeight="1" x14ac:dyDescent="0.3"/>
    <row r="2566" ht="205.5" customHeight="1" x14ac:dyDescent="0.3"/>
    <row r="2567" ht="205.5" customHeight="1" x14ac:dyDescent="0.3"/>
    <row r="2568" ht="205.5" customHeight="1" x14ac:dyDescent="0.3"/>
    <row r="2569" ht="205.5" customHeight="1" x14ac:dyDescent="0.3"/>
    <row r="2570" ht="205.5" customHeight="1" x14ac:dyDescent="0.3"/>
    <row r="2571" ht="205.5" customHeight="1" x14ac:dyDescent="0.3"/>
    <row r="2572" ht="205.5" customHeight="1" x14ac:dyDescent="0.3"/>
    <row r="2573" ht="205.5" customHeight="1" x14ac:dyDescent="0.3"/>
    <row r="2574" ht="205.5" customHeight="1" x14ac:dyDescent="0.3"/>
    <row r="2575" ht="205.5" customHeight="1" x14ac:dyDescent="0.3"/>
    <row r="2576" ht="205.5" customHeight="1" x14ac:dyDescent="0.3"/>
    <row r="2577" ht="205.5" customHeight="1" x14ac:dyDescent="0.3"/>
    <row r="2578" ht="205.5" customHeight="1" x14ac:dyDescent="0.3"/>
    <row r="2579" ht="205.5" customHeight="1" x14ac:dyDescent="0.3"/>
    <row r="2580" ht="205.5" customHeight="1" x14ac:dyDescent="0.3"/>
    <row r="2581" ht="205.5" customHeight="1" x14ac:dyDescent="0.3"/>
    <row r="2582" ht="205.5" customHeight="1" x14ac:dyDescent="0.3"/>
    <row r="2583" ht="205.5" customHeight="1" x14ac:dyDescent="0.3"/>
    <row r="2584" ht="205.5" customHeight="1" x14ac:dyDescent="0.3"/>
    <row r="2585" ht="205.5" customHeight="1" x14ac:dyDescent="0.3"/>
    <row r="2586" ht="205.5" customHeight="1" x14ac:dyDescent="0.3"/>
    <row r="2587" ht="205.5" customHeight="1" x14ac:dyDescent="0.3"/>
    <row r="2588" ht="205.5" customHeight="1" x14ac:dyDescent="0.3"/>
    <row r="2589" ht="205.5" customHeight="1" x14ac:dyDescent="0.3"/>
    <row r="2590" ht="205.5" customHeight="1" x14ac:dyDescent="0.3"/>
    <row r="2591" ht="205.5" customHeight="1" x14ac:dyDescent="0.3"/>
    <row r="2592" ht="205.5" customHeight="1" x14ac:dyDescent="0.3"/>
    <row r="2593" ht="205.5" customHeight="1" x14ac:dyDescent="0.3"/>
    <row r="2594" ht="205.5" customHeight="1" x14ac:dyDescent="0.3"/>
    <row r="2595" ht="205.5" customHeight="1" x14ac:dyDescent="0.3"/>
    <row r="2596" ht="205.5" customHeight="1" x14ac:dyDescent="0.3"/>
    <row r="2597" ht="205.5" customHeight="1" x14ac:dyDescent="0.3"/>
    <row r="2598" ht="205.5" customHeight="1" x14ac:dyDescent="0.3"/>
    <row r="2599" ht="205.5" customHeight="1" x14ac:dyDescent="0.3"/>
    <row r="2600" ht="205.5" customHeight="1" x14ac:dyDescent="0.3"/>
    <row r="2601" ht="205.5" customHeight="1" x14ac:dyDescent="0.3"/>
    <row r="2602" ht="205.5" customHeight="1" x14ac:dyDescent="0.3"/>
    <row r="2603" ht="205.5" customHeight="1" x14ac:dyDescent="0.3"/>
    <row r="2604" ht="205.5" customHeight="1" x14ac:dyDescent="0.3"/>
    <row r="2605" ht="205.5" customHeight="1" x14ac:dyDescent="0.3"/>
    <row r="2606" ht="205.5" customHeight="1" x14ac:dyDescent="0.3"/>
    <row r="2607" ht="205.5" customHeight="1" x14ac:dyDescent="0.3"/>
    <row r="2608" ht="205.5" customHeight="1" x14ac:dyDescent="0.3"/>
    <row r="2609" ht="205.5" customHeight="1" x14ac:dyDescent="0.3"/>
    <row r="2610" ht="205.5" customHeight="1" x14ac:dyDescent="0.3"/>
    <row r="2611" ht="205.5" customHeight="1" x14ac:dyDescent="0.3"/>
    <row r="2612" ht="205.5" customHeight="1" x14ac:dyDescent="0.3"/>
    <row r="2613" ht="205.5" customHeight="1" x14ac:dyDescent="0.3"/>
    <row r="2614" ht="205.5" customHeight="1" x14ac:dyDescent="0.3"/>
    <row r="2615" ht="205.5" customHeight="1" x14ac:dyDescent="0.3"/>
    <row r="2616" ht="205.5" customHeight="1" x14ac:dyDescent="0.3"/>
    <row r="2617" ht="205.5" customHeight="1" x14ac:dyDescent="0.3"/>
    <row r="2618" ht="205.5" customHeight="1" x14ac:dyDescent="0.3"/>
    <row r="2619" ht="205.5" customHeight="1" x14ac:dyDescent="0.3"/>
    <row r="2620" ht="205.5" customHeight="1" x14ac:dyDescent="0.3"/>
    <row r="2621" ht="205.5" customHeight="1" x14ac:dyDescent="0.3"/>
    <row r="2622" ht="205.5" customHeight="1" x14ac:dyDescent="0.3"/>
    <row r="2623" ht="205.5" customHeight="1" x14ac:dyDescent="0.3"/>
    <row r="2624" ht="205.5" customHeight="1" x14ac:dyDescent="0.3"/>
    <row r="2625" ht="205.5" customHeight="1" x14ac:dyDescent="0.3"/>
    <row r="2626" ht="205.5" customHeight="1" x14ac:dyDescent="0.3"/>
    <row r="2627" ht="205.5" customHeight="1" x14ac:dyDescent="0.3"/>
    <row r="2628" ht="205.5" customHeight="1" x14ac:dyDescent="0.3"/>
    <row r="2629" ht="205.5" customHeight="1" x14ac:dyDescent="0.3"/>
    <row r="2630" ht="205.5" customHeight="1" x14ac:dyDescent="0.3"/>
    <row r="2631" ht="205.5" customHeight="1" x14ac:dyDescent="0.3"/>
    <row r="2632" ht="205.5" customHeight="1" x14ac:dyDescent="0.3"/>
    <row r="2633" ht="205.5" customHeight="1" x14ac:dyDescent="0.3"/>
    <row r="2634" ht="205.5" customHeight="1" x14ac:dyDescent="0.3"/>
    <row r="2635" ht="205.5" customHeight="1" x14ac:dyDescent="0.3"/>
    <row r="2636" ht="205.5" customHeight="1" x14ac:dyDescent="0.3"/>
    <row r="2637" ht="205.5" customHeight="1" x14ac:dyDescent="0.3"/>
    <row r="2638" ht="205.5" customHeight="1" x14ac:dyDescent="0.3"/>
    <row r="2639" ht="205.5" customHeight="1" x14ac:dyDescent="0.3"/>
    <row r="2640" ht="205.5" customHeight="1" x14ac:dyDescent="0.3"/>
    <row r="2641" ht="205.5" customHeight="1" x14ac:dyDescent="0.3"/>
    <row r="2642" ht="205.5" customHeight="1" x14ac:dyDescent="0.3"/>
    <row r="2643" ht="205.5" customHeight="1" x14ac:dyDescent="0.3"/>
    <row r="2644" ht="205.5" customHeight="1" x14ac:dyDescent="0.3"/>
    <row r="2645" ht="205.5" customHeight="1" x14ac:dyDescent="0.3"/>
    <row r="2646" ht="205.5" customHeight="1" x14ac:dyDescent="0.3"/>
    <row r="2647" ht="205.5" customHeight="1" x14ac:dyDescent="0.3"/>
    <row r="2648" ht="205.5" customHeight="1" x14ac:dyDescent="0.3"/>
    <row r="2649" ht="205.5" customHeight="1" x14ac:dyDescent="0.3"/>
    <row r="2650" ht="205.5" customHeight="1" x14ac:dyDescent="0.3"/>
    <row r="2651" ht="205.5" customHeight="1" x14ac:dyDescent="0.3"/>
    <row r="2652" ht="205.5" customHeight="1" x14ac:dyDescent="0.3"/>
    <row r="2653" ht="205.5" customHeight="1" x14ac:dyDescent="0.3"/>
    <row r="2654" ht="205.5" customHeight="1" x14ac:dyDescent="0.3"/>
    <row r="2655" ht="205.5" customHeight="1" x14ac:dyDescent="0.3"/>
    <row r="2656" ht="205.5" customHeight="1" x14ac:dyDescent="0.3"/>
    <row r="2657" ht="205.5" customHeight="1" x14ac:dyDescent="0.3"/>
    <row r="2658" ht="205.5" customHeight="1" x14ac:dyDescent="0.3"/>
    <row r="2659" ht="205.5" customHeight="1" x14ac:dyDescent="0.3"/>
    <row r="2660" ht="205.5" customHeight="1" x14ac:dyDescent="0.3"/>
    <row r="2661" ht="205.5" customHeight="1" x14ac:dyDescent="0.3"/>
    <row r="2662" ht="205.5" customHeight="1" x14ac:dyDescent="0.3"/>
    <row r="2663" ht="205.5" customHeight="1" x14ac:dyDescent="0.3"/>
    <row r="2664" ht="205.5" customHeight="1" x14ac:dyDescent="0.3"/>
    <row r="2665" ht="205.5" customHeight="1" x14ac:dyDescent="0.3"/>
    <row r="2666" ht="205.5" customHeight="1" x14ac:dyDescent="0.3"/>
    <row r="2667" ht="205.5" customHeight="1" x14ac:dyDescent="0.3"/>
    <row r="2668" ht="205.5" customHeight="1" x14ac:dyDescent="0.3"/>
    <row r="2669" ht="205.5" customHeight="1" x14ac:dyDescent="0.3"/>
    <row r="2670" ht="205.5" customHeight="1" x14ac:dyDescent="0.3"/>
    <row r="2671" ht="205.5" customHeight="1" x14ac:dyDescent="0.3"/>
    <row r="2672" ht="205.5" customHeight="1" x14ac:dyDescent="0.3"/>
    <row r="2673" ht="205.5" customHeight="1" x14ac:dyDescent="0.3"/>
    <row r="2674" ht="205.5" customHeight="1" x14ac:dyDescent="0.3"/>
    <row r="2675" ht="205.5" customHeight="1" x14ac:dyDescent="0.3"/>
    <row r="2676" ht="205.5" customHeight="1" x14ac:dyDescent="0.3"/>
    <row r="2677" ht="205.5" customHeight="1" x14ac:dyDescent="0.3"/>
    <row r="2678" ht="205.5" customHeight="1" x14ac:dyDescent="0.3"/>
    <row r="2679" ht="205.5" customHeight="1" x14ac:dyDescent="0.3"/>
    <row r="2680" ht="205.5" customHeight="1" x14ac:dyDescent="0.3"/>
    <row r="2681" ht="205.5" customHeight="1" x14ac:dyDescent="0.3"/>
    <row r="2682" ht="205.5" customHeight="1" x14ac:dyDescent="0.3"/>
    <row r="2683" ht="205.5" customHeight="1" x14ac:dyDescent="0.3"/>
    <row r="2684" ht="205.5" customHeight="1" x14ac:dyDescent="0.3"/>
    <row r="2685" ht="205.5" customHeight="1" x14ac:dyDescent="0.3"/>
    <row r="2686" ht="205.5" customHeight="1" x14ac:dyDescent="0.3"/>
    <row r="2687" ht="205.5" customHeight="1" x14ac:dyDescent="0.3"/>
    <row r="2688" ht="205.5" customHeight="1" x14ac:dyDescent="0.3"/>
    <row r="2689" ht="205.5" customHeight="1" x14ac:dyDescent="0.3"/>
    <row r="2690" ht="205.5" customHeight="1" x14ac:dyDescent="0.3"/>
    <row r="2691" ht="205.5" customHeight="1" x14ac:dyDescent="0.3"/>
    <row r="2692" ht="205.5" customHeight="1" x14ac:dyDescent="0.3"/>
    <row r="2693" ht="205.5" customHeight="1" x14ac:dyDescent="0.3"/>
    <row r="2694" ht="205.5" customHeight="1" x14ac:dyDescent="0.3"/>
    <row r="2695" ht="205.5" customHeight="1" x14ac:dyDescent="0.3"/>
    <row r="2696" ht="205.5" customHeight="1" x14ac:dyDescent="0.3"/>
    <row r="2697" ht="205.5" customHeight="1" x14ac:dyDescent="0.3"/>
    <row r="2698" ht="205.5" customHeight="1" x14ac:dyDescent="0.3"/>
    <row r="2699" ht="205.5" customHeight="1" x14ac:dyDescent="0.3"/>
    <row r="2700" ht="205.5" customHeight="1" x14ac:dyDescent="0.3"/>
    <row r="2701" ht="205.5" customHeight="1" x14ac:dyDescent="0.3"/>
    <row r="2702" ht="205.5" customHeight="1" x14ac:dyDescent="0.3"/>
    <row r="2703" ht="205.5" customHeight="1" x14ac:dyDescent="0.3"/>
    <row r="2704" ht="205.5" customHeight="1" x14ac:dyDescent="0.3"/>
    <row r="2705" ht="205.5" customHeight="1" x14ac:dyDescent="0.3"/>
    <row r="2706" ht="205.5" customHeight="1" x14ac:dyDescent="0.3"/>
    <row r="2707" ht="205.5" customHeight="1" x14ac:dyDescent="0.3"/>
    <row r="2708" ht="205.5" customHeight="1" x14ac:dyDescent="0.3"/>
    <row r="2709" ht="205.5" customHeight="1" x14ac:dyDescent="0.3"/>
    <row r="2710" ht="205.5" customHeight="1" x14ac:dyDescent="0.3"/>
    <row r="2711" ht="205.5" customHeight="1" x14ac:dyDescent="0.3"/>
    <row r="2712" ht="205.5" customHeight="1" x14ac:dyDescent="0.3"/>
    <row r="2713" ht="205.5" customHeight="1" x14ac:dyDescent="0.3"/>
    <row r="2714" ht="205.5" customHeight="1" x14ac:dyDescent="0.3"/>
    <row r="2715" ht="205.5" customHeight="1" x14ac:dyDescent="0.3"/>
    <row r="2716" ht="205.5" customHeight="1" x14ac:dyDescent="0.3"/>
    <row r="2717" ht="205.5" customHeight="1" x14ac:dyDescent="0.3"/>
    <row r="2718" ht="205.5" customHeight="1" x14ac:dyDescent="0.3"/>
    <row r="2719" ht="205.5" customHeight="1" x14ac:dyDescent="0.3"/>
    <row r="2720" ht="205.5" customHeight="1" x14ac:dyDescent="0.3"/>
    <row r="2721" ht="205.5" customHeight="1" x14ac:dyDescent="0.3"/>
    <row r="2722" ht="205.5" customHeight="1" x14ac:dyDescent="0.3"/>
    <row r="2723" ht="205.5" customHeight="1" x14ac:dyDescent="0.3"/>
    <row r="2724" ht="205.5" customHeight="1" x14ac:dyDescent="0.3"/>
    <row r="2725" ht="205.5" customHeight="1" x14ac:dyDescent="0.3"/>
    <row r="2726" ht="205.5" customHeight="1" x14ac:dyDescent="0.3"/>
    <row r="2727" ht="205.5" customHeight="1" x14ac:dyDescent="0.3"/>
    <row r="2728" ht="205.5" customHeight="1" x14ac:dyDescent="0.3"/>
    <row r="2729" ht="205.5" customHeight="1" x14ac:dyDescent="0.3"/>
    <row r="2730" ht="205.5" customHeight="1" x14ac:dyDescent="0.3"/>
    <row r="2731" ht="205.5" customHeight="1" x14ac:dyDescent="0.3"/>
    <row r="2732" ht="205.5" customHeight="1" x14ac:dyDescent="0.3"/>
    <row r="2733" ht="205.5" customHeight="1" x14ac:dyDescent="0.3"/>
    <row r="2734" ht="205.5" customHeight="1" x14ac:dyDescent="0.3"/>
    <row r="2735" ht="205.5" customHeight="1" x14ac:dyDescent="0.3"/>
    <row r="2736" ht="205.5" customHeight="1" x14ac:dyDescent="0.3"/>
    <row r="2737" ht="205.5" customHeight="1" x14ac:dyDescent="0.3"/>
    <row r="2738" ht="205.5" customHeight="1" x14ac:dyDescent="0.3"/>
    <row r="2739" ht="205.5" customHeight="1" x14ac:dyDescent="0.3"/>
    <row r="2740" ht="205.5" customHeight="1" x14ac:dyDescent="0.3"/>
    <row r="2741" ht="205.5" customHeight="1" x14ac:dyDescent="0.3"/>
    <row r="2742" ht="205.5" customHeight="1" x14ac:dyDescent="0.3"/>
    <row r="2743" ht="205.5" customHeight="1" x14ac:dyDescent="0.3"/>
    <row r="2744" ht="205.5" customHeight="1" x14ac:dyDescent="0.3"/>
    <row r="2745" ht="205.5" customHeight="1" x14ac:dyDescent="0.3"/>
    <row r="2746" ht="205.5" customHeight="1" x14ac:dyDescent="0.3"/>
    <row r="2747" ht="205.5" customHeight="1" x14ac:dyDescent="0.3"/>
    <row r="2748" ht="205.5" customHeight="1" x14ac:dyDescent="0.3"/>
    <row r="2749" ht="205.5" customHeight="1" x14ac:dyDescent="0.3"/>
    <row r="2750" ht="205.5" customHeight="1" x14ac:dyDescent="0.3"/>
    <row r="2751" ht="205.5" customHeight="1" x14ac:dyDescent="0.3"/>
    <row r="2752" ht="205.5" customHeight="1" x14ac:dyDescent="0.3"/>
    <row r="2753" ht="205.5" customHeight="1" x14ac:dyDescent="0.3"/>
    <row r="2754" ht="205.5" customHeight="1" x14ac:dyDescent="0.3"/>
    <row r="2755" ht="205.5" customHeight="1" x14ac:dyDescent="0.3"/>
    <row r="2756" ht="205.5" customHeight="1" x14ac:dyDescent="0.3"/>
    <row r="2757" ht="205.5" customHeight="1" x14ac:dyDescent="0.3"/>
    <row r="2758" ht="205.5" customHeight="1" x14ac:dyDescent="0.3"/>
    <row r="2759" ht="205.5" customHeight="1" x14ac:dyDescent="0.3"/>
    <row r="2760" ht="205.5" customHeight="1" x14ac:dyDescent="0.3"/>
    <row r="2761" ht="205.5" customHeight="1" x14ac:dyDescent="0.3"/>
    <row r="2762" ht="205.5" customHeight="1" x14ac:dyDescent="0.3"/>
    <row r="2763" ht="205.5" customHeight="1" x14ac:dyDescent="0.3"/>
    <row r="2764" ht="205.5" customHeight="1" x14ac:dyDescent="0.3"/>
    <row r="2765" ht="205.5" customHeight="1" x14ac:dyDescent="0.3"/>
    <row r="2766" ht="205.5" customHeight="1" x14ac:dyDescent="0.3"/>
    <row r="2767" ht="205.5" customHeight="1" x14ac:dyDescent="0.3"/>
    <row r="2768" ht="205.5" customHeight="1" x14ac:dyDescent="0.3"/>
    <row r="2769" ht="205.5" customHeight="1" x14ac:dyDescent="0.3"/>
    <row r="2770" ht="205.5" customHeight="1" x14ac:dyDescent="0.3"/>
    <row r="2771" ht="205.5" customHeight="1" x14ac:dyDescent="0.3"/>
    <row r="2772" ht="205.5" customHeight="1" x14ac:dyDescent="0.3"/>
    <row r="2773" ht="205.5" customHeight="1" x14ac:dyDescent="0.3"/>
    <row r="2774" ht="205.5" customHeight="1" x14ac:dyDescent="0.3"/>
    <row r="2775" ht="205.5" customHeight="1" x14ac:dyDescent="0.3"/>
    <row r="2776" ht="205.5" customHeight="1" x14ac:dyDescent="0.3"/>
    <row r="2777" ht="205.5" customHeight="1" x14ac:dyDescent="0.3"/>
    <row r="2778" ht="205.5" customHeight="1" x14ac:dyDescent="0.3"/>
    <row r="2779" ht="205.5" customHeight="1" x14ac:dyDescent="0.3"/>
    <row r="2780" ht="205.5" customHeight="1" x14ac:dyDescent="0.3"/>
    <row r="2781" ht="205.5" customHeight="1" x14ac:dyDescent="0.3"/>
    <row r="2782" ht="205.5" customHeight="1" x14ac:dyDescent="0.3"/>
    <row r="2783" ht="205.5" customHeight="1" x14ac:dyDescent="0.3"/>
    <row r="2784" ht="205.5" customHeight="1" x14ac:dyDescent="0.3"/>
    <row r="2785" ht="205.5" customHeight="1" x14ac:dyDescent="0.3"/>
    <row r="2786" ht="205.5" customHeight="1" x14ac:dyDescent="0.3"/>
    <row r="2787" ht="205.5" customHeight="1" x14ac:dyDescent="0.3"/>
    <row r="2788" ht="205.5" customHeight="1" x14ac:dyDescent="0.3"/>
    <row r="2789" ht="205.5" customHeight="1" x14ac:dyDescent="0.3"/>
    <row r="2790" ht="205.5" customHeight="1" x14ac:dyDescent="0.3"/>
    <row r="2791" ht="205.5" customHeight="1" x14ac:dyDescent="0.3"/>
    <row r="2792" ht="205.5" customHeight="1" x14ac:dyDescent="0.3"/>
    <row r="2793" ht="205.5" customHeight="1" x14ac:dyDescent="0.3"/>
    <row r="2794" ht="205.5" customHeight="1" x14ac:dyDescent="0.3"/>
    <row r="2795" ht="205.5" customHeight="1" x14ac:dyDescent="0.3"/>
    <row r="2796" ht="205.5" customHeight="1" x14ac:dyDescent="0.3"/>
    <row r="2797" ht="205.5" customHeight="1" x14ac:dyDescent="0.3"/>
    <row r="2798" ht="205.5" customHeight="1" x14ac:dyDescent="0.3"/>
    <row r="2799" ht="205.5" customHeight="1" x14ac:dyDescent="0.3"/>
    <row r="2800" ht="205.5" customHeight="1" x14ac:dyDescent="0.3"/>
    <row r="2801" ht="205.5" customHeight="1" x14ac:dyDescent="0.3"/>
    <row r="2802" ht="205.5" customHeight="1" x14ac:dyDescent="0.3"/>
    <row r="2803" ht="205.5" customHeight="1" x14ac:dyDescent="0.3"/>
    <row r="2804" ht="205.5" customHeight="1" x14ac:dyDescent="0.3"/>
    <row r="2805" ht="205.5" customHeight="1" x14ac:dyDescent="0.3"/>
    <row r="2806" ht="205.5" customHeight="1" x14ac:dyDescent="0.3"/>
    <row r="2807" ht="205.5" customHeight="1" x14ac:dyDescent="0.3"/>
    <row r="2808" ht="205.5" customHeight="1" x14ac:dyDescent="0.3"/>
    <row r="2809" ht="205.5" customHeight="1" x14ac:dyDescent="0.3"/>
    <row r="2810" ht="205.5" customHeight="1" x14ac:dyDescent="0.3"/>
    <row r="2811" ht="205.5" customHeight="1" x14ac:dyDescent="0.3"/>
    <row r="2812" ht="205.5" customHeight="1" x14ac:dyDescent="0.3"/>
    <row r="2813" ht="205.5" customHeight="1" x14ac:dyDescent="0.3"/>
    <row r="2814" ht="205.5" customHeight="1" x14ac:dyDescent="0.3"/>
    <row r="2815" ht="205.5" customHeight="1" x14ac:dyDescent="0.3"/>
    <row r="2816" ht="205.5" customHeight="1" x14ac:dyDescent="0.3"/>
    <row r="2817" ht="205.5" customHeight="1" x14ac:dyDescent="0.3"/>
    <row r="2818" ht="205.5" customHeight="1" x14ac:dyDescent="0.3"/>
    <row r="2819" ht="205.5" customHeight="1" x14ac:dyDescent="0.3"/>
    <row r="2820" ht="205.5" customHeight="1" x14ac:dyDescent="0.3"/>
    <row r="2821" ht="205.5" customHeight="1" x14ac:dyDescent="0.3"/>
    <row r="2822" ht="205.5" customHeight="1" x14ac:dyDescent="0.3"/>
    <row r="2823" ht="205.5" customHeight="1" x14ac:dyDescent="0.3"/>
    <row r="2824" ht="205.5" customHeight="1" x14ac:dyDescent="0.3"/>
    <row r="2825" ht="205.5" customHeight="1" x14ac:dyDescent="0.3"/>
    <row r="2826" ht="205.5" customHeight="1" x14ac:dyDescent="0.3"/>
    <row r="2827" ht="205.5" customHeight="1" x14ac:dyDescent="0.3"/>
    <row r="2828" ht="205.5" customHeight="1" x14ac:dyDescent="0.3"/>
    <row r="2829" ht="205.5" customHeight="1" x14ac:dyDescent="0.3"/>
    <row r="2830" ht="205.5" customHeight="1" x14ac:dyDescent="0.3"/>
    <row r="2831" ht="205.5" customHeight="1" x14ac:dyDescent="0.3"/>
    <row r="2832" ht="205.5" customHeight="1" x14ac:dyDescent="0.3"/>
    <row r="2833" ht="205.5" customHeight="1" x14ac:dyDescent="0.3"/>
    <row r="2834" ht="205.5" customHeight="1" x14ac:dyDescent="0.3"/>
    <row r="2835" ht="205.5" customHeight="1" x14ac:dyDescent="0.3"/>
    <row r="2836" ht="205.5" customHeight="1" x14ac:dyDescent="0.3"/>
    <row r="2837" ht="205.5" customHeight="1" x14ac:dyDescent="0.3"/>
    <row r="2838" ht="205.5" customHeight="1" x14ac:dyDescent="0.3"/>
    <row r="2839" ht="205.5" customHeight="1" x14ac:dyDescent="0.3"/>
    <row r="2840" ht="205.5" customHeight="1" x14ac:dyDescent="0.3"/>
    <row r="2841" ht="205.5" customHeight="1" x14ac:dyDescent="0.3"/>
    <row r="2842" ht="205.5" customHeight="1" x14ac:dyDescent="0.3"/>
    <row r="2843" ht="205.5" customHeight="1" x14ac:dyDescent="0.3"/>
    <row r="2844" ht="205.5" customHeight="1" x14ac:dyDescent="0.3"/>
    <row r="2845" ht="205.5" customHeight="1" x14ac:dyDescent="0.3"/>
    <row r="2846" ht="205.5" customHeight="1" x14ac:dyDescent="0.3"/>
    <row r="2847" ht="205.5" customHeight="1" x14ac:dyDescent="0.3"/>
    <row r="2848" ht="205.5" customHeight="1" x14ac:dyDescent="0.3"/>
    <row r="2849" ht="205.5" customHeight="1" x14ac:dyDescent="0.3"/>
    <row r="2850" ht="205.5" customHeight="1" x14ac:dyDescent="0.3"/>
    <row r="2851" ht="205.5" customHeight="1" x14ac:dyDescent="0.3"/>
    <row r="2852" ht="205.5" customHeight="1" x14ac:dyDescent="0.3"/>
    <row r="2853" ht="205.5" customHeight="1" x14ac:dyDescent="0.3"/>
    <row r="2854" ht="205.5" customHeight="1" x14ac:dyDescent="0.3"/>
    <row r="2855" ht="205.5" customHeight="1" x14ac:dyDescent="0.3"/>
    <row r="2856" ht="205.5" customHeight="1" x14ac:dyDescent="0.3"/>
    <row r="2857" ht="205.5" customHeight="1" x14ac:dyDescent="0.3"/>
    <row r="2858" ht="205.5" customHeight="1" x14ac:dyDescent="0.3"/>
    <row r="2859" ht="205.5" customHeight="1" x14ac:dyDescent="0.3"/>
    <row r="2860" ht="205.5" customHeight="1" x14ac:dyDescent="0.3"/>
    <row r="2861" ht="205.5" customHeight="1" x14ac:dyDescent="0.3"/>
    <row r="2862" ht="205.5" customHeight="1" x14ac:dyDescent="0.3"/>
    <row r="2863" ht="205.5" customHeight="1" x14ac:dyDescent="0.3"/>
    <row r="2864" ht="205.5" customHeight="1" x14ac:dyDescent="0.3"/>
    <row r="2865" ht="205.5" customHeight="1" x14ac:dyDescent="0.3"/>
    <row r="2866" ht="205.5" customHeight="1" x14ac:dyDescent="0.3"/>
    <row r="2867" ht="205.5" customHeight="1" x14ac:dyDescent="0.3"/>
    <row r="2868" ht="205.5" customHeight="1" x14ac:dyDescent="0.3"/>
    <row r="2869" ht="205.5" customHeight="1" x14ac:dyDescent="0.3"/>
    <row r="2870" ht="205.5" customHeight="1" x14ac:dyDescent="0.3"/>
    <row r="2871" ht="205.5" customHeight="1" x14ac:dyDescent="0.3"/>
    <row r="2872" ht="205.5" customHeight="1" x14ac:dyDescent="0.3"/>
    <row r="2873" ht="205.5" customHeight="1" x14ac:dyDescent="0.3"/>
    <row r="2874" ht="205.5" customHeight="1" x14ac:dyDescent="0.3"/>
    <row r="2875" ht="205.5" customHeight="1" x14ac:dyDescent="0.3"/>
    <row r="2876" ht="205.5" customHeight="1" x14ac:dyDescent="0.3"/>
    <row r="2877" ht="205.5" customHeight="1" x14ac:dyDescent="0.3"/>
    <row r="2878" ht="205.5" customHeight="1" x14ac:dyDescent="0.3"/>
    <row r="2879" ht="205.5" customHeight="1" x14ac:dyDescent="0.3"/>
    <row r="2880" ht="205.5" customHeight="1" x14ac:dyDescent="0.3"/>
    <row r="2881" ht="205.5" customHeight="1" x14ac:dyDescent="0.3"/>
    <row r="2882" ht="205.5" customHeight="1" x14ac:dyDescent="0.3"/>
    <row r="2883" ht="205.5" customHeight="1" x14ac:dyDescent="0.3"/>
    <row r="2884" ht="205.5" customHeight="1" x14ac:dyDescent="0.3"/>
    <row r="2885" ht="205.5" customHeight="1" x14ac:dyDescent="0.3"/>
    <row r="2886" ht="205.5" customHeight="1" x14ac:dyDescent="0.3"/>
    <row r="2887" ht="205.5" customHeight="1" x14ac:dyDescent="0.3"/>
    <row r="2888" ht="205.5" customHeight="1" x14ac:dyDescent="0.3"/>
    <row r="2889" ht="205.5" customHeight="1" x14ac:dyDescent="0.3"/>
    <row r="2890" ht="205.5" customHeight="1" x14ac:dyDescent="0.3"/>
    <row r="2891" ht="205.5" customHeight="1" x14ac:dyDescent="0.3"/>
    <row r="2892" ht="205.5" customHeight="1" x14ac:dyDescent="0.3"/>
    <row r="2893" ht="205.5" customHeight="1" x14ac:dyDescent="0.3"/>
    <row r="2894" ht="205.5" customHeight="1" x14ac:dyDescent="0.3"/>
    <row r="2895" ht="205.5" customHeight="1" x14ac:dyDescent="0.3"/>
    <row r="2896" ht="205.5" customHeight="1" x14ac:dyDescent="0.3"/>
    <row r="2897" ht="205.5" customHeight="1" x14ac:dyDescent="0.3"/>
    <row r="2898" ht="205.5" customHeight="1" x14ac:dyDescent="0.3"/>
    <row r="2899" ht="205.5" customHeight="1" x14ac:dyDescent="0.3"/>
    <row r="2900" ht="205.5" customHeight="1" x14ac:dyDescent="0.3"/>
    <row r="2901" ht="205.5" customHeight="1" x14ac:dyDescent="0.3"/>
    <row r="2902" ht="205.5" customHeight="1" x14ac:dyDescent="0.3"/>
    <row r="2903" ht="205.5" customHeight="1" x14ac:dyDescent="0.3"/>
    <row r="2904" ht="205.5" customHeight="1" x14ac:dyDescent="0.3"/>
    <row r="2905" ht="205.5" customHeight="1" x14ac:dyDescent="0.3"/>
    <row r="2906" ht="205.5" customHeight="1" x14ac:dyDescent="0.3"/>
    <row r="2907" ht="205.5" customHeight="1" x14ac:dyDescent="0.3"/>
    <row r="2908" ht="205.5" customHeight="1" x14ac:dyDescent="0.3"/>
    <row r="2909" ht="205.5" customHeight="1" x14ac:dyDescent="0.3"/>
    <row r="2910" ht="205.5" customHeight="1" x14ac:dyDescent="0.3"/>
    <row r="2911" ht="205.5" customHeight="1" x14ac:dyDescent="0.3"/>
    <row r="2912" ht="205.5" customHeight="1" x14ac:dyDescent="0.3"/>
    <row r="2913" ht="205.5" customHeight="1" x14ac:dyDescent="0.3"/>
    <row r="2914" ht="205.5" customHeight="1" x14ac:dyDescent="0.3"/>
    <row r="2915" ht="205.5" customHeight="1" x14ac:dyDescent="0.3"/>
    <row r="2916" ht="205.5" customHeight="1" x14ac:dyDescent="0.3"/>
    <row r="2917" ht="205.5" customHeight="1" x14ac:dyDescent="0.3"/>
    <row r="2918" ht="205.5" customHeight="1" x14ac:dyDescent="0.3"/>
    <row r="2919" ht="205.5" customHeight="1" x14ac:dyDescent="0.3"/>
    <row r="2920" ht="205.5" customHeight="1" x14ac:dyDescent="0.3"/>
    <row r="2921" ht="205.5" customHeight="1" x14ac:dyDescent="0.3"/>
    <row r="2922" ht="205.5" customHeight="1" x14ac:dyDescent="0.3"/>
    <row r="2923" ht="205.5" customHeight="1" x14ac:dyDescent="0.3"/>
    <row r="2924" ht="205.5" customHeight="1" x14ac:dyDescent="0.3"/>
    <row r="2925" ht="205.5" customHeight="1" x14ac:dyDescent="0.3"/>
    <row r="2926" ht="205.5" customHeight="1" x14ac:dyDescent="0.3"/>
    <row r="2927" ht="205.5" customHeight="1" x14ac:dyDescent="0.3"/>
    <row r="2928" ht="205.5" customHeight="1" x14ac:dyDescent="0.3"/>
    <row r="2929" ht="205.5" customHeight="1" x14ac:dyDescent="0.3"/>
    <row r="2930" ht="205.5" customHeight="1" x14ac:dyDescent="0.3"/>
    <row r="2931" ht="205.5" customHeight="1" x14ac:dyDescent="0.3"/>
    <row r="2932" ht="205.5" customHeight="1" x14ac:dyDescent="0.3"/>
    <row r="2933" ht="205.5" customHeight="1" x14ac:dyDescent="0.3"/>
    <row r="2934" ht="205.5" customHeight="1" x14ac:dyDescent="0.3"/>
    <row r="2935" ht="205.5" customHeight="1" x14ac:dyDescent="0.3"/>
    <row r="2936" ht="205.5" customHeight="1" x14ac:dyDescent="0.3"/>
    <row r="2937" ht="205.5" customHeight="1" x14ac:dyDescent="0.3"/>
    <row r="2938" ht="205.5" customHeight="1" x14ac:dyDescent="0.3"/>
    <row r="2939" ht="205.5" customHeight="1" x14ac:dyDescent="0.3"/>
    <row r="2940" ht="205.5" customHeight="1" x14ac:dyDescent="0.3"/>
    <row r="2941" ht="205.5" customHeight="1" x14ac:dyDescent="0.3"/>
    <row r="2942" ht="205.5" customHeight="1" x14ac:dyDescent="0.3"/>
    <row r="2943" ht="205.5" customHeight="1" x14ac:dyDescent="0.3"/>
    <row r="2944" ht="205.5" customHeight="1" x14ac:dyDescent="0.3"/>
    <row r="2945" ht="205.5" customHeight="1" x14ac:dyDescent="0.3"/>
    <row r="2946" ht="205.5" customHeight="1" x14ac:dyDescent="0.3"/>
    <row r="2947" ht="205.5" customHeight="1" x14ac:dyDescent="0.3"/>
    <row r="2948" ht="205.5" customHeight="1" x14ac:dyDescent="0.3"/>
    <row r="2949" ht="205.5" customHeight="1" x14ac:dyDescent="0.3"/>
    <row r="2950" ht="205.5" customHeight="1" x14ac:dyDescent="0.3"/>
    <row r="2951" ht="205.5" customHeight="1" x14ac:dyDescent="0.3"/>
    <row r="2952" ht="205.5" customHeight="1" x14ac:dyDescent="0.3"/>
    <row r="2953" ht="205.5" customHeight="1" x14ac:dyDescent="0.3"/>
    <row r="2954" ht="205.5" customHeight="1" x14ac:dyDescent="0.3"/>
    <row r="2955" ht="205.5" customHeight="1" x14ac:dyDescent="0.3"/>
    <row r="2956" ht="205.5" customHeight="1" x14ac:dyDescent="0.3"/>
    <row r="2957" ht="205.5" customHeight="1" x14ac:dyDescent="0.3"/>
    <row r="2958" ht="205.5" customHeight="1" x14ac:dyDescent="0.3"/>
    <row r="2959" ht="205.5" customHeight="1" x14ac:dyDescent="0.3"/>
    <row r="2960" ht="205.5" customHeight="1" x14ac:dyDescent="0.3"/>
    <row r="2961" ht="205.5" customHeight="1" x14ac:dyDescent="0.3"/>
    <row r="2962" ht="205.5" customHeight="1" x14ac:dyDescent="0.3"/>
    <row r="2963" ht="205.5" customHeight="1" x14ac:dyDescent="0.3"/>
    <row r="2964" ht="205.5" customHeight="1" x14ac:dyDescent="0.3"/>
    <row r="2965" ht="205.5" customHeight="1" x14ac:dyDescent="0.3"/>
    <row r="2966" ht="205.5" customHeight="1" x14ac:dyDescent="0.3"/>
    <row r="2967" ht="205.5" customHeight="1" x14ac:dyDescent="0.3"/>
    <row r="2968" ht="205.5" customHeight="1" x14ac:dyDescent="0.3"/>
    <row r="2969" ht="205.5" customHeight="1" x14ac:dyDescent="0.3"/>
    <row r="2970" ht="205.5" customHeight="1" x14ac:dyDescent="0.3"/>
    <row r="2971" ht="205.5" customHeight="1" x14ac:dyDescent="0.3"/>
    <row r="2972" ht="205.5" customHeight="1" x14ac:dyDescent="0.3"/>
    <row r="2973" ht="205.5" customHeight="1" x14ac:dyDescent="0.3"/>
    <row r="2974" ht="205.5" customHeight="1" x14ac:dyDescent="0.3"/>
    <row r="2975" ht="205.5" customHeight="1" x14ac:dyDescent="0.3"/>
    <row r="2976" ht="205.5" customHeight="1" x14ac:dyDescent="0.3"/>
    <row r="2977" ht="205.5" customHeight="1" x14ac:dyDescent="0.3"/>
    <row r="2978" ht="205.5" customHeight="1" x14ac:dyDescent="0.3"/>
    <row r="2979" ht="205.5" customHeight="1" x14ac:dyDescent="0.3"/>
    <row r="2980" ht="205.5" customHeight="1" x14ac:dyDescent="0.3"/>
    <row r="2981" ht="205.5" customHeight="1" x14ac:dyDescent="0.3"/>
    <row r="2982" ht="205.5" customHeight="1" x14ac:dyDescent="0.3"/>
    <row r="2983" ht="205.5" customHeight="1" x14ac:dyDescent="0.3"/>
    <row r="2984" ht="205.5" customHeight="1" x14ac:dyDescent="0.3"/>
    <row r="2985" ht="205.5" customHeight="1" x14ac:dyDescent="0.3"/>
    <row r="2986" ht="205.5" customHeight="1" x14ac:dyDescent="0.3"/>
    <row r="2987" ht="205.5" customHeight="1" x14ac:dyDescent="0.3"/>
    <row r="2988" ht="205.5" customHeight="1" x14ac:dyDescent="0.3"/>
    <row r="2989" ht="205.5" customHeight="1" x14ac:dyDescent="0.3"/>
    <row r="2990" ht="205.5" customHeight="1" x14ac:dyDescent="0.3"/>
    <row r="2991" ht="205.5" customHeight="1" x14ac:dyDescent="0.3"/>
    <row r="2992" ht="205.5" customHeight="1" x14ac:dyDescent="0.3"/>
    <row r="2993" ht="205.5" customHeight="1" x14ac:dyDescent="0.3"/>
    <row r="2994" ht="205.5" customHeight="1" x14ac:dyDescent="0.3"/>
    <row r="2995" ht="205.5" customHeight="1" x14ac:dyDescent="0.3"/>
    <row r="2996" ht="205.5" customHeight="1" x14ac:dyDescent="0.3"/>
    <row r="2997" ht="205.5" customHeight="1" x14ac:dyDescent="0.3"/>
    <row r="2998" ht="205.5" customHeight="1" x14ac:dyDescent="0.3"/>
    <row r="2999" ht="205.5" customHeight="1" x14ac:dyDescent="0.3"/>
    <row r="3000" ht="205.5" customHeight="1" x14ac:dyDescent="0.3"/>
  </sheetData>
  <sheetProtection formatCells="0" formatColumns="0" formatRows="0" sort="0" autoFilter="0"/>
  <phoneticPr fontId="13" type="noConversion"/>
  <conditionalFormatting sqref="A1:A1048576">
    <cfRule type="duplicateValues" dxfId="12" priority="212"/>
  </conditionalFormatting>
  <conditionalFormatting sqref="A2:CL2">
    <cfRule type="expression" dxfId="11" priority="571">
      <formula>+$CL2="Sí"</formula>
    </cfRule>
  </conditionalFormatting>
  <conditionalFormatting sqref="A2:CM2">
    <cfRule type="expression" dxfId="10" priority="683">
      <formula>$J2="Pendiente"</formula>
    </cfRule>
    <cfRule type="expression" dxfId="9" priority="684">
      <formula>$J2="Prioritario"</formula>
    </cfRule>
  </conditionalFormatting>
  <conditionalFormatting sqref="A2:CM2">
    <cfRule type="expression" dxfId="8" priority="566">
      <formula>+$CM2="Seguimiento"</formula>
    </cfRule>
  </conditionalFormatting>
  <conditionalFormatting sqref="A2:CM2">
    <cfRule type="expression" dxfId="7" priority="665">
      <formula>$J2="Al dia"</formula>
    </cfRule>
  </conditionalFormatting>
  <conditionalFormatting sqref="C2">
    <cfRule type="expression" dxfId="6" priority="120">
      <formula>$CP2="Priorizado"</formula>
    </cfRule>
  </conditionalFormatting>
  <conditionalFormatting sqref="K2">
    <cfRule type="cellIs" dxfId="5" priority="686" stopIfTrue="1" operator="equal">
      <formula>"Seguimientos al día"</formula>
    </cfRule>
  </conditionalFormatting>
  <conditionalFormatting sqref="C2">
    <cfRule type="duplicateValues" dxfId="4" priority="14919"/>
  </conditionalFormatting>
  <conditionalFormatting sqref="C2">
    <cfRule type="duplicateValues" dxfId="3" priority="14920"/>
  </conditionalFormatting>
  <conditionalFormatting sqref="C1:C1048576">
    <cfRule type="duplicateValues" dxfId="2" priority="14921"/>
  </conditionalFormatting>
  <conditionalFormatting sqref="C1 C3:C1048576">
    <cfRule type="duplicateValues" dxfId="1" priority="14924"/>
    <cfRule type="duplicateValues" dxfId="0" priority="14925"/>
  </conditionalFormatting>
  <dataValidations count="17">
    <dataValidation type="date" allowBlank="1" showInputMessage="1" showErrorMessage="1" sqref="G2" xr:uid="{093ECC84-782D-4652-92EB-F04C3E89173F}">
      <formula1>45597</formula1>
      <formula2>45962</formula2>
    </dataValidation>
    <dataValidation type="list" allowBlank="1" showInputMessage="1" showErrorMessage="1" sqref="CM2" xr:uid="{8DB0899B-D0E0-4BE7-8EE1-BC8AFFA7B0EC}">
      <formula1>INDIRECT("tabla12[]")</formula1>
    </dataValidation>
    <dataValidation type="list" allowBlank="1" showInputMessage="1" showErrorMessage="1" sqref="CN2 BH1:BH1048576 BM1:BM1048576 CC1:CD1048576 CI1:CI1048576 BX1:BX1048576 CL1:CL1048576 AV1:AW1048576 U1:U1048576 O1:P1048576 Z1:AA1048576 AK1:AL1048576 BB1:BB1048576 AF1:AF1048576 BR1:BS1048576" xr:uid="{13CEAF38-B0A8-4EAF-874C-52C87689DEDF}">
      <formula1>INDIRECT("tabla24[]")</formula1>
    </dataValidation>
    <dataValidation type="list" allowBlank="1" showInputMessage="1" showErrorMessage="1" sqref="AU1:AU1048576 BF1:BG1048576 CB1:CB1048576 BQ1:BQ1048576 AJ1:AJ1048576 Y1:Y1048576 N1:N1048576" xr:uid="{5F910DEB-B41F-49E6-B518-64F03883A411}">
      <formula1>INDIRECT("tabla1[]")</formula1>
    </dataValidation>
    <dataValidation type="list" allowBlank="1" showInputMessage="1" showErrorMessage="1" sqref="BE1:BE1048576 BP1:BP1048576 CA1:CA1048576 AT1:AT1048576 AI1:AI1048576 M1:M1048576 X1:X1048576 AQ1:AQ1048576" xr:uid="{EFAAD2C9-9724-4454-BA42-7D562A46CC6C}">
      <formula1>INDIRECT("tabla29[]")</formula1>
    </dataValidation>
    <dataValidation allowBlank="1" showInputMessage="1" showErrorMessage="1" sqref="F1" xr:uid="{6F25D913-A11B-4544-A519-4F5856D8FDFF}"/>
    <dataValidation type="list" allowBlank="1" showInputMessage="1" showErrorMessage="1" sqref="F2 BC1:BC1048576 BY1:BY1048576 CJ1:CJ1048576 BN1:BN1048576 V1:V1048576 AG1:AG1048576 AR1:AR1048576" xr:uid="{92E02E7C-E320-4526-8AC3-524076099641}">
      <formula1>INDIRECT("tabla30[]")</formula1>
    </dataValidation>
    <dataValidation type="list" allowBlank="1" showInputMessage="1" showErrorMessage="1" sqref="AX1:AX1048576 BI1:BI1048576 CE1:CE1048576 BT1:BT1048576 AM1:AM1048576 Q1:Q1048576 AB1:AB1048576" xr:uid="{D9A3C2FA-A37B-4CE9-9E3A-2CC84B8772FD}">
      <formula1>INDIRECT("tabla26[]")</formula1>
    </dataValidation>
    <dataValidation type="list" allowBlank="1" showInputMessage="1" showErrorMessage="1" sqref="J2" xr:uid="{BF4055A5-A735-4809-BDAB-8B72887411CD}">
      <formula1>INDIRECT("tabla3[]")</formula1>
    </dataValidation>
    <dataValidation type="list" allowBlank="1" showInputMessage="1" showErrorMessage="1" sqref="B2" xr:uid="{D18E0B0C-1C44-4705-93A2-6E0BC300D4DC}">
      <formula1>INDIRECT("tabla5[]")</formula1>
    </dataValidation>
    <dataValidation type="list" allowBlank="1" showInputMessage="1" showErrorMessage="1" sqref="BU2 AC2 R2 AN2 BJ2 CF2 AY2" xr:uid="{1477F90D-4AAA-4646-8B9C-648D252C18ED}">
      <formula1>INDIRECT($Q$2:$Q$2)</formula1>
    </dataValidation>
    <dataValidation type="custom" allowBlank="1" showInputMessage="1" showErrorMessage="1" sqref="W2" xr:uid="{FEB7A72A-4269-40A8-A8BF-29EAD18117CF}">
      <formula1>+IF(D2="Alto",$G2+1,$G2+15)</formula1>
    </dataValidation>
    <dataValidation type="custom" allowBlank="1" showInputMessage="1" showErrorMessage="1" sqref="L2" xr:uid="{AB017D49-9BDC-4CE7-87E0-DEBD90B9E487}">
      <formula1>+IF(D2="Alto",$G2+(4/24),$G2+6)</formula1>
    </dataValidation>
    <dataValidation type="custom" allowBlank="1" showInputMessage="1" showErrorMessage="1" sqref="AH2" xr:uid="{283F9926-95A0-4233-AB87-516376249EA3}">
      <formula1>+IF(R2="Alto",$G2+2,$G2+30)</formula1>
    </dataValidation>
    <dataValidation type="custom" allowBlank="1" showInputMessage="1" showErrorMessage="1" sqref="AS2" xr:uid="{8FE0DFC5-369D-4E7F-AF1F-340A7D6BFC18}">
      <formula1>+IF(AC2="Alto",$G2+(72/24),$G2+60)</formula1>
    </dataValidation>
    <dataValidation type="custom" allowBlank="1" showInputMessage="1" showErrorMessage="1" sqref="BD2" xr:uid="{11FFE254-183F-444C-A84E-FE1E79282E44}">
      <formula1>+IF(AN2="Alto",$G2+15,$G2+120)</formula1>
    </dataValidation>
    <dataValidation type="custom" allowBlank="1" showInputMessage="1" showErrorMessage="1" sqref="BO2" xr:uid="{E2C68DAA-3930-4C4E-AF1F-242582AF520C}">
      <formula1>+IF(AY2="Alto",$G2+30,$G2+180)</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custom" allowBlank="1" showInputMessage="1" showErrorMessage="1" xr:uid="{A0721114-1EE4-401A-A556-D1B0D7F3D1DD}">
          <x14:formula1>
            <xm:f>+_xlfn.XLOOKUP(C2,'Nivel de riesgo'!#REF!,'Nivel de riesgo'!#REF!,0,0,1)</xm:f>
          </x14:formula1>
          <xm:sqref>E2</xm:sqref>
        </x14:dataValidation>
        <x14:dataValidation type="custom" allowBlank="1" showInputMessage="1" showErrorMessage="1" xr:uid="{4214C9B5-B7E0-4CB8-A54D-0FCC1E85E259}">
          <x14:formula1>
            <xm:f>+_xlfn.XLOOKUP(C2,'Nivel de riesgo'!#REF!,'Nivel de riesgo'!#REF!,0,0,1)</xm:f>
          </x14:formula1>
          <xm:sqref>D2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14</vt:i4>
      </vt:variant>
    </vt:vector>
  </HeadingPairs>
  <TitlesOfParts>
    <vt:vector size="20" baseType="lpstr">
      <vt:lpstr>Hoja1</vt:lpstr>
      <vt:lpstr>Hoja4</vt:lpstr>
      <vt:lpstr>Tablas</vt:lpstr>
      <vt:lpstr>Nivel de riesgo</vt:lpstr>
      <vt:lpstr>Hoja2</vt:lpstr>
      <vt:lpstr>Seguimientos</vt:lpstr>
      <vt:lpstr>Seguimientos!Área_de_impresión</vt:lpstr>
      <vt:lpstr>Barreras_Entidad</vt:lpstr>
      <vt:lpstr>Barreras_Justicia_Fiscalia</vt:lpstr>
      <vt:lpstr>Barreras_Justicia_General</vt:lpstr>
      <vt:lpstr>Barreras_Justicia_INMLCF</vt:lpstr>
      <vt:lpstr>Barreras_Justicia_juzgado</vt:lpstr>
      <vt:lpstr>Barreras_Proteccion_Comisaria</vt:lpstr>
      <vt:lpstr>Barreras_Proteccion_Fiscalia</vt:lpstr>
      <vt:lpstr>Barreras_proteccion_inspeccion</vt:lpstr>
      <vt:lpstr>Barreras_proteccion_Juzgado_Garantias</vt:lpstr>
      <vt:lpstr>Barreras_proteccion_Juzgado_municipal</vt:lpstr>
      <vt:lpstr>Barreras_proteccion_Policia</vt:lpstr>
      <vt:lpstr>Barreras_Salud</vt:lpstr>
      <vt:lpstr>Barreras_UNP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Vladimir Garcia Montejo</dc:creator>
  <cp:keywords/>
  <dc:description/>
  <cp:lastModifiedBy>Vladimir Garcia Montejo</cp:lastModifiedBy>
  <cp:revision/>
  <dcterms:created xsi:type="dcterms:W3CDTF">2024-10-30T21:03:06Z</dcterms:created>
  <dcterms:modified xsi:type="dcterms:W3CDTF">2025-04-24T15:21:00Z</dcterms:modified>
  <cp:category/>
  <cp:contentStatus/>
</cp:coreProperties>
</file>