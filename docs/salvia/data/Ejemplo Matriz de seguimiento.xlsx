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Vladimir Garcia\Desktop\"/>
    </mc:Choice>
  </mc:AlternateContent>
  <xr:revisionPtr revIDLastSave="0" documentId="8_{0DBE2F8E-273E-44D4-AC67-B9EAA88556CC}" xr6:coauthVersionLast="47" xr6:coauthVersionMax="47" xr10:uidLastSave="{00000000-0000-0000-0000-000000000000}"/>
  <bookViews>
    <workbookView xWindow="-108" yWindow="-108" windowWidth="23256" windowHeight="12456" firstSheet="1" activeTab="1" xr2:uid="{0B382043-97E9-4D3B-A355-0526B6F7C8C0}"/>
  </bookViews>
  <sheets>
    <sheet name="Hoja4" sheetId="4" state="hidden" r:id="rId1"/>
    <sheet name="Tablas" sheetId="3" r:id="rId2"/>
    <sheet name="Seguimiento" sheetId="1" r:id="rId3"/>
  </sheets>
  <definedNames>
    <definedName name="Barreras_Entidad">Tabla19[Barreras_Entidad]</definedName>
    <definedName name="Barreras_Justicia_Fiscalia">Tabla16[Barreras_Justicia_Fiscalia]</definedName>
    <definedName name="Barreras_Justicia_General">Tabla15[Barreras_Justicia_General]</definedName>
    <definedName name="Barreras_Justicia_INMLCF">Tabla18[Barreras_Justicia_INMLCF]</definedName>
    <definedName name="Barreras_Justicia_juzgado">Tabla17[Barreras_Justicia_juzgado]</definedName>
    <definedName name="Barreras_Proteccion_Comisaria">Tabla7[Barreras_Proteccion_Comisaria]</definedName>
    <definedName name="Barreras_Proteccion_Fiscalia">Tabla8[Barreras_Proteccion_Fiscalia]</definedName>
    <definedName name="Barreras_proteccion_inspeccion">Tabla11[Barreras_proteccion_Juzgado_municipal]</definedName>
    <definedName name="Barreras_proteccion_Juzgado_Garantias">Tabla9[Barreras_proteccion_Juzgado_Garantias]</definedName>
    <definedName name="Barreras_proteccion_Juzgado_municipal">Tabla11[Barreras_proteccion_Juzgado_municipal]</definedName>
    <definedName name="Barreras_proteccion_Policia">Tabla10[Barreras_proteccion_Policia]</definedName>
    <definedName name="Barreras_Salud">Tabla6[Barreras_Salud]</definedName>
    <definedName name="Barreras_UNP">Tabla14[Barreras_UNP]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BC2" i="1"/>
  <c r="D17" i="4"/>
  <c r="D18" i="4"/>
  <c r="D19" i="4"/>
  <c r="D16" i="4"/>
  <c r="D11" i="4"/>
  <c r="D12" i="4"/>
  <c r="D13" i="4"/>
  <c r="D14" i="4"/>
  <c r="D7" i="4"/>
  <c r="D8" i="4"/>
  <c r="D9" i="4"/>
  <c r="D6" i="4"/>
  <c r="BN2" i="1"/>
  <c r="AR2" i="1"/>
  <c r="AG2" i="1"/>
  <c r="V2" i="1"/>
  <c r="K2" i="1"/>
  <c r="J2" i="1" l="1"/>
</calcChain>
</file>

<file path=xl/sharedStrings.xml><?xml version="1.0" encoding="utf-8"?>
<sst xmlns="http://schemas.openxmlformats.org/spreadsheetml/2006/main" count="345" uniqueCount="252">
  <si>
    <t>Salud</t>
  </si>
  <si>
    <t>Centro Médico / Clínica / Hospital / Ese (servicio de urgencias) </t>
  </si>
  <si>
    <t>Salud_Centro_Médico</t>
  </si>
  <si>
    <t>Entidad Promotora de Salud </t>
  </si>
  <si>
    <t>Salud_EPS</t>
  </si>
  <si>
    <t>Institución Prestadora de Servicios de Salud </t>
  </si>
  <si>
    <t>Salud_IPS</t>
  </si>
  <si>
    <t>Protección </t>
  </si>
  <si>
    <t>Protección Comisaría de Familia </t>
  </si>
  <si>
    <t>Comisaría de Familia </t>
  </si>
  <si>
    <t>Protección Juzgado de Control de Garantías </t>
  </si>
  <si>
    <t>Juzgado de Control de Garantías </t>
  </si>
  <si>
    <t>Protección Fiscalía General de la Nación </t>
  </si>
  <si>
    <t>Fiscalía General de la Nación </t>
  </si>
  <si>
    <t>Protección Policía Nacional </t>
  </si>
  <si>
    <t>Policía Nacional </t>
  </si>
  <si>
    <t>Protección Juzgado Civil Municipal </t>
  </si>
  <si>
    <t>(Si no hay Comisaría de Familia): </t>
  </si>
  <si>
    <t>Protección Juzgado Promiscuo Municipal  </t>
  </si>
  <si>
    <t>Juzgado Civil Municipal </t>
  </si>
  <si>
    <t>Protección Inspección de Policía </t>
  </si>
  <si>
    <t>Juzgado Promiscuo Municipal  </t>
  </si>
  <si>
    <t>Protección Unidad Nacional de Protección </t>
  </si>
  <si>
    <t>Inspección de Policía </t>
  </si>
  <si>
    <t xml:space="preserve">Justicia Recepción de denuncias - Policía Judicial (SIJIN, DIJIN, CTI) Fiscalía General de la Nación / Policía Nacional </t>
  </si>
  <si>
    <t>Unidad Nacional de Protección </t>
  </si>
  <si>
    <t>Justicia Fiscalía General de la Nación - Asignado a proceso penal </t>
  </si>
  <si>
    <t>Justicia </t>
  </si>
  <si>
    <t>Justicia Juzgado Penal con Función de Conocimiento </t>
  </si>
  <si>
    <t xml:space="preserve">Recepción de denuncias - Policía Judicial (SIJIN, DIJIN, CTI) Fiscalía General de la Nación / Policía Nacional </t>
  </si>
  <si>
    <t>Justicia Instituto Nacional de Medicina Legal y Ciencias Forenses – Instituciones de salud autorizadas </t>
  </si>
  <si>
    <t>Fiscalía General de la Nación - Asignado a proceso penal </t>
  </si>
  <si>
    <t>Juzgado Penal con Función de Conocimiento </t>
  </si>
  <si>
    <t>Instituto Nacional de Medicina Legal y Ciencias Forenses – Instituciones de salud autorizadas </t>
  </si>
  <si>
    <r>
      <t>Entidad territorial</t>
    </r>
    <r>
      <rPr>
        <sz val="14"/>
        <rFont val="Aptos"/>
        <family val="2"/>
      </rPr>
      <t> </t>
    </r>
  </si>
  <si>
    <t>Entidad territorial</t>
  </si>
  <si>
    <r>
      <t>Acompañamiento para dirimir barreras: Ministerio Público - Entidad territorial</t>
    </r>
    <r>
      <rPr>
        <sz val="14"/>
        <rFont val="Aptos"/>
        <family val="2"/>
      </rPr>
      <t> </t>
    </r>
  </si>
  <si>
    <t>Defensoría del Pueblo </t>
  </si>
  <si>
    <t>Personería Municipal / Distrital </t>
  </si>
  <si>
    <t>Procuraduría General de la Nación </t>
  </si>
  <si>
    <t>Entidad territorial (secretaría de mujer, enlace de género o quien haga sus veces) </t>
  </si>
  <si>
    <t xml:space="preserve">Mecanismo Articulador Territorial </t>
  </si>
  <si>
    <t>Sector</t>
  </si>
  <si>
    <t>Ámbitos</t>
  </si>
  <si>
    <t>Nivel de riesgo</t>
  </si>
  <si>
    <t>Tipo documento</t>
  </si>
  <si>
    <t>Barreras_Salud</t>
  </si>
  <si>
    <t>Barreras_Proteccion_Comisaria</t>
  </si>
  <si>
    <t>Barreras_Proteccion_Fiscalia</t>
  </si>
  <si>
    <t>Barreras_proteccion_Juzgado_Garantias</t>
  </si>
  <si>
    <t>Barreras_proteccion_Policia</t>
  </si>
  <si>
    <t>Barreras_proteccion_Juzgado_municipal</t>
  </si>
  <si>
    <t>Barreras_proteccion_inspeccion</t>
  </si>
  <si>
    <t>Barreras_UNP</t>
  </si>
  <si>
    <t>Barreras_Justicia_General</t>
  </si>
  <si>
    <t>Barreras_Justicia_Fiscalia</t>
  </si>
  <si>
    <t>Barreras_Justicia_juzgado</t>
  </si>
  <si>
    <t>Barreras_Justicia_INMLCF</t>
  </si>
  <si>
    <t>Barreras_Entidad</t>
  </si>
  <si>
    <t>Sector Barreras</t>
  </si>
  <si>
    <t>Profesionales</t>
  </si>
  <si>
    <t xml:space="preserve">Ámbito familiar </t>
  </si>
  <si>
    <t>Bajo</t>
  </si>
  <si>
    <t>1- Cédula de Ciudadanía - C.C.</t>
  </si>
  <si>
    <t>Aseguramiento en salud, cobro de cuotas moderadoras </t>
  </si>
  <si>
    <t>Demora injustificada en la atención </t>
  </si>
  <si>
    <r>
      <t xml:space="preserve">Otorgamiento </t>
    </r>
    <r>
      <rPr>
        <sz val="11"/>
        <color rgb="FF000000"/>
        <rFont val="Aptos"/>
        <family val="2"/>
      </rPr>
      <t>medida de protección</t>
    </r>
    <r>
      <rPr>
        <sz val="11"/>
        <rFont val="Aptos"/>
        <family val="2"/>
      </rPr>
      <t xml:space="preserve"> provisional </t>
    </r>
  </si>
  <si>
    <t>Información acerca del estado del proceso o citaciones al mismo </t>
  </si>
  <si>
    <t>Realización del examen médico- legal </t>
  </si>
  <si>
    <t>Adriana Alejandra Garibello Manrique</t>
  </si>
  <si>
    <t xml:space="preserve">Ámbito político </t>
  </si>
  <si>
    <t>Medio</t>
  </si>
  <si>
    <t>2- Tarjeta de identidad - T.I.</t>
  </si>
  <si>
    <t>Atención en urgencias </t>
  </si>
  <si>
    <t>Otorgamiento de medida de protección provisional </t>
  </si>
  <si>
    <t>Solicitud de medida de protección  </t>
  </si>
  <si>
    <t>Actitud revictimizante de funcionarios(as) </t>
  </si>
  <si>
    <t>Incumplimiento a órdenes impartidas por autoridad administrativa </t>
  </si>
  <si>
    <t>Otorgamiento medida de protección provisional </t>
  </si>
  <si>
    <t>Valoración del riesgo asociado a la labor </t>
  </si>
  <si>
    <t>Recepción de denuncia  </t>
  </si>
  <si>
    <t>Solicitudes injustificadas de aplazamiento </t>
  </si>
  <si>
    <t>Aplazamientos injustificados </t>
  </si>
  <si>
    <t>Prestación de las medidas de atención </t>
  </si>
  <si>
    <t xml:space="preserve">Andrés Vera Herrera </t>
  </si>
  <si>
    <t>Ámbito diferente</t>
  </si>
  <si>
    <t>Alto</t>
  </si>
  <si>
    <t>3- Cédula de extranjería - C.E.</t>
  </si>
  <si>
    <t>Programación de citas médicas </t>
  </si>
  <si>
    <t>Otorgamiento de medida de protección definitiva </t>
  </si>
  <si>
    <t>Activación de la ruta de atención integral </t>
  </si>
  <si>
    <t>Acudir como primer respondiente frente a actos urgentes, incluyendo capturas en flagrancia </t>
  </si>
  <si>
    <t>Otorgamiento medida de protección definitiva </t>
  </si>
  <si>
    <t>Remisión a Instituto Nacional de Medicina Legal y Ciencias Forenses para valoración médico- legal </t>
  </si>
  <si>
    <t>Impulso procesal (actos de investigación, ampliación de denuncia) </t>
  </si>
  <si>
    <t>Impulso procesal  </t>
  </si>
  <si>
    <t xml:space="preserve">Angie Ximena Suárez Salgado </t>
  </si>
  <si>
    <t>4- Registro civil - R.C.</t>
  </si>
  <si>
    <t>Continuidad en tratamiento </t>
  </si>
  <si>
    <t>Otorgamiento de medida de atención </t>
  </si>
  <si>
    <t>Otorgamiento medida de atención </t>
  </si>
  <si>
    <t>Valoración del riesgo </t>
  </si>
  <si>
    <t xml:space="preserve">Aura Geraldine Valencia Carvajal </t>
  </si>
  <si>
    <t>5- DNI (país de origen)</t>
  </si>
  <si>
    <t>Entrega de medicamentos </t>
  </si>
  <si>
    <t>Seguimiento a la medida de protección / atención </t>
  </si>
  <si>
    <t>BRAYAN YESID GUTIERREZ TELLEZ</t>
  </si>
  <si>
    <t>6- Pasaporte - PAS</t>
  </si>
  <si>
    <t>No se realiza valoración del riesgo </t>
  </si>
  <si>
    <t xml:space="preserve">Carlos Alberto Borda Ladino </t>
  </si>
  <si>
    <t>7- Salvoconducto para refugiados - SVC</t>
  </si>
  <si>
    <t>CARLOS PEDRAZA</t>
  </si>
  <si>
    <t>8- Permiso Especial de Permanencia (PEP)</t>
  </si>
  <si>
    <t>Traslado</t>
  </si>
  <si>
    <t xml:space="preserve">Christian Evaristo Aguilar Castiblanco </t>
  </si>
  <si>
    <t>9- Permiso por Protección Temporal (PPT)</t>
  </si>
  <si>
    <t>Riesgo</t>
  </si>
  <si>
    <t xml:space="preserve">Claudia Marcela Riaño </t>
  </si>
  <si>
    <t>Atención</t>
  </si>
  <si>
    <t>99- Sin información - SN</t>
  </si>
  <si>
    <t>Daniel Córdoba Guevara</t>
  </si>
  <si>
    <t>Sí</t>
  </si>
  <si>
    <t>Darwin Ramirez</t>
  </si>
  <si>
    <t>No</t>
  </si>
  <si>
    <t xml:space="preserve">Diana Katherine Becerra Rodríguez </t>
  </si>
  <si>
    <t>A</t>
  </si>
  <si>
    <t>B</t>
  </si>
  <si>
    <t>C</t>
  </si>
  <si>
    <t xml:space="preserve">Edith Julieth Cubillos piragauta </t>
  </si>
  <si>
    <t>Seguimiento</t>
  </si>
  <si>
    <t>Ninguna Barrera</t>
  </si>
  <si>
    <t xml:space="preserve">Felipe Andrés Gómez Tellez </t>
  </si>
  <si>
    <t xml:space="preserve">fredy enrique soraca valero </t>
  </si>
  <si>
    <t>Gabriel roberto corredor garcia</t>
  </si>
  <si>
    <t xml:space="preserve">Gunkeywia Torres Chaparro </t>
  </si>
  <si>
    <t>Henry Ernesto  salazar carrillo</t>
  </si>
  <si>
    <t>Heyder Fabián Guerrero</t>
  </si>
  <si>
    <t xml:space="preserve">Ivett Porras </t>
  </si>
  <si>
    <t xml:space="preserve">Jason Saenz Ospina </t>
  </si>
  <si>
    <t xml:space="preserve">Jeimy Paola Antonio Poveda </t>
  </si>
  <si>
    <t>JENNIFER GERALDINNE VELANDIA NOVOA</t>
  </si>
  <si>
    <t xml:space="preserve">Jenny Elizeth Vega León </t>
  </si>
  <si>
    <t xml:space="preserve">Jenny Paola Cruz Alfonso </t>
  </si>
  <si>
    <t>Jessica M. Niño Vivas</t>
  </si>
  <si>
    <t xml:space="preserve">Jhensen Lisbeth Hurtado Reales </t>
  </si>
  <si>
    <t xml:space="preserve">José Felipe Calixto </t>
  </si>
  <si>
    <t>Kimberly Natalia Tovar Vargas</t>
  </si>
  <si>
    <t xml:space="preserve">Laura Patricia Soler Velasco </t>
  </si>
  <si>
    <t xml:space="preserve">Liceth romero </t>
  </si>
  <si>
    <t>Lina Lucero lozano H</t>
  </si>
  <si>
    <t xml:space="preserve">Lina Marcela Roa Arciniegas </t>
  </si>
  <si>
    <t>Lorena Pechene</t>
  </si>
  <si>
    <t>LUIS ALBERTO MANCERA BEJARANO</t>
  </si>
  <si>
    <t xml:space="preserve">LUZ MARY QUIÑONES </t>
  </si>
  <si>
    <t xml:space="preserve">Maria Fernanda Quintero </t>
  </si>
  <si>
    <t>María Suancha López</t>
  </si>
  <si>
    <t xml:space="preserve">Mauricio Rojas </t>
  </si>
  <si>
    <t xml:space="preserve">Michael Antonio Guayana Talero </t>
  </si>
  <si>
    <t xml:space="preserve">Natalia Grisales Martinez </t>
  </si>
  <si>
    <t xml:space="preserve">Natalia Uribe Tapasco </t>
  </si>
  <si>
    <t xml:space="preserve">Nidia Chabur Chaves </t>
  </si>
  <si>
    <t xml:space="preserve">Nimia Esther Mena Mena </t>
  </si>
  <si>
    <t xml:space="preserve">Pablo Camilo Nova Villalobos </t>
  </si>
  <si>
    <t>Paola Andrea Mosquera Chima</t>
  </si>
  <si>
    <t>Rocío del pilar Escobedo romero</t>
  </si>
  <si>
    <t xml:space="preserve">Sandra Milena Briceño </t>
  </si>
  <si>
    <t>Sergio Daniel Prieto Salas</t>
  </si>
  <si>
    <t xml:space="preserve">Yoana romero </t>
  </si>
  <si>
    <t xml:space="preserve">Yurani Sileni Cuchivaque Díaz </t>
  </si>
  <si>
    <t>María Fernanda Quintero</t>
  </si>
  <si>
    <t>Jennifer Palomino</t>
  </si>
  <si>
    <t>Lina Marcela Gómez Valencia</t>
  </si>
  <si>
    <t>Conse</t>
  </si>
  <si>
    <t>Tipo ID</t>
  </si>
  <si>
    <t xml:space="preserve">Numero </t>
  </si>
  <si>
    <t>Responsable</t>
  </si>
  <si>
    <t>Fecha de atención</t>
  </si>
  <si>
    <t>Riesgo no Pareja</t>
  </si>
  <si>
    <t>LGBTIQ+</t>
  </si>
  <si>
    <t>Avance seguimiento</t>
  </si>
  <si>
    <t>Total seguimientos</t>
  </si>
  <si>
    <t>Alerta pendientes</t>
  </si>
  <si>
    <t>Primer seguimiento</t>
  </si>
  <si>
    <t>¿Se hizo seguimiento?</t>
  </si>
  <si>
    <t>La persona fue a la entidad</t>
  </si>
  <si>
    <t>Recibió atención?</t>
  </si>
  <si>
    <t>Sector barreras</t>
  </si>
  <si>
    <t>Barreras</t>
  </si>
  <si>
    <t>Nombre entidad Barreras</t>
  </si>
  <si>
    <t>Comentarios</t>
  </si>
  <si>
    <t>¿Se elaboraron documentos del caso?</t>
  </si>
  <si>
    <t>Persona que hace seguimiento</t>
  </si>
  <si>
    <t>Segundo seguimiento</t>
  </si>
  <si>
    <t>¿Se hizo seguimiento?3</t>
  </si>
  <si>
    <t>Sector3</t>
  </si>
  <si>
    <t>La persona fue a la entidad3</t>
  </si>
  <si>
    <t>Recibió atención?3</t>
  </si>
  <si>
    <t>Sector barreras3</t>
  </si>
  <si>
    <t>Barreras3</t>
  </si>
  <si>
    <t>Nombre entidad Barreras3</t>
  </si>
  <si>
    <t>Comentarios3</t>
  </si>
  <si>
    <t>Persona que hace seguimiento2</t>
  </si>
  <si>
    <t>Tercer seguimiento</t>
  </si>
  <si>
    <t>¿Se hizo seguimiento?32</t>
  </si>
  <si>
    <t>Sector33</t>
  </si>
  <si>
    <t>La persona fue a la entidad34</t>
  </si>
  <si>
    <t>Recibió atención?35</t>
  </si>
  <si>
    <t>Sector barreras36</t>
  </si>
  <si>
    <t>Barreras37</t>
  </si>
  <si>
    <t>Nombre entidad Barreras38</t>
  </si>
  <si>
    <t>Comentarios39</t>
  </si>
  <si>
    <t>¿Se elaboraron documentos del caso?3</t>
  </si>
  <si>
    <t>Persona que hace seguimiento3</t>
  </si>
  <si>
    <t>Cuarto seguimiento</t>
  </si>
  <si>
    <t>¿Se hizo seguimiento?4</t>
  </si>
  <si>
    <t>Sector4</t>
  </si>
  <si>
    <t>La persona fue a la entidad4</t>
  </si>
  <si>
    <t>Recibió atención?4</t>
  </si>
  <si>
    <t>Sector barreras4</t>
  </si>
  <si>
    <t>Barreras4</t>
  </si>
  <si>
    <t>Nombre entidad Barreras4</t>
  </si>
  <si>
    <t>Comentarios4</t>
  </si>
  <si>
    <t>¿Se elaboraron documentos del caso?4</t>
  </si>
  <si>
    <t>Persona que hace seguimiento4</t>
  </si>
  <si>
    <t>Quinto seguimiento</t>
  </si>
  <si>
    <t>¿Se hizo seguimiento?5</t>
  </si>
  <si>
    <t>Sector5</t>
  </si>
  <si>
    <t>La persona fue a la entidad5</t>
  </si>
  <si>
    <t>Recibió atención?5</t>
  </si>
  <si>
    <t>Sector barreras5</t>
  </si>
  <si>
    <t>Barreras5</t>
  </si>
  <si>
    <t>Nombre entidad Barreras5</t>
  </si>
  <si>
    <t>Comentarios5</t>
  </si>
  <si>
    <t>¿Se elaboraron documentos del caso?5</t>
  </si>
  <si>
    <t>Persona que hace seguimiento5</t>
  </si>
  <si>
    <t>Sexto seguimiento</t>
  </si>
  <si>
    <t>¿Se hizo seguimiento?6</t>
  </si>
  <si>
    <t>Sector6</t>
  </si>
  <si>
    <t>La persona fue a la entidad6</t>
  </si>
  <si>
    <t>Recibió atención?6</t>
  </si>
  <si>
    <t>Sector barreras6</t>
  </si>
  <si>
    <t>Barreras6</t>
  </si>
  <si>
    <t>Nombre entidad Barreras6</t>
  </si>
  <si>
    <t>Comentarios6</t>
  </si>
  <si>
    <t>¿Se elaboraron documentos del caso?6</t>
  </si>
  <si>
    <t>Persona que hace seguimiento6</t>
  </si>
  <si>
    <t>Observaciones</t>
  </si>
  <si>
    <t>Cierre de caso</t>
  </si>
  <si>
    <t>La usuaria refiere que no ha asitido a la comisaria de familia de Kennedy, por sus horarios de trabajo. Se refuerza intencionalidad, dimensionando la importancia de recibir los servicios de comisaria de familia, frente a denuncia y acompañamiento psicosocial. Se continua sensibilizando en prevencion y atencion a violencias de genero. La usuaria se compromete a asistir a la comisaria de familia el dia martes 12 de noviembre en horas de la tarde apenas salga de su trabajo.</t>
  </si>
  <si>
    <t>La usuaria comenta que se encuentra hospitalizada en el hospital de Kennedy, le han comentado los médicos que es por un daño en la vesícula, resalta que no acudió a la comisaria previamente. Se brindan recomendaciones pertinentes a atención en salud, y se refuerza intencionalidad a activar ruta de protección. La usuaria es receptiva, y acepta continuar en seguimiento. Se recomienda, continuar motivando intencionalidad a la denuncia y acceso a rutas de protección.</t>
  </si>
  <si>
    <t xml:space="preserve">Intento 1. 10/Dic/2024. Sin respuesta
Intento 2. 11/Dic/2024. Sin respuesta
Intento 3. 13/Dic/2024. sin respuesta. Continuar próximo seguimiento. </t>
  </si>
  <si>
    <t xml:space="preserve">Intento 1. 14/Ene/2025.  Sin respuesta
Intento 2. 15/Ene /2025. Sin respuesta
Intento 3. 16/Ene/2025. Contesta , pero no habla , al identificar que es de la linea 155. Continuar intentando el seguimiento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</si>
</sst>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1"/>
      <name val="Aptos"/>
      <family val="2"/>
    </font>
    <font>
      <sz val="12"/>
      <name val="Aptos"/>
      <family val="2"/>
    </font>
    <font>
      <b/>
      <sz val="11"/>
      <name val="Aptos Narrow"/>
      <family val="2"/>
      <scheme val="minor"/>
    </font>
    <font>
      <b/>
      <sz val="14"/>
      <name val="Aptos"/>
      <family val="2"/>
    </font>
    <font>
      <sz val="14"/>
      <name val="Aptos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15608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3" fillId="0" borderId="3" xfId="0" applyFont="1" applyBorder="1" applyAlignment="1">
      <alignment horizontal="justify" vertical="center"/>
    </xf>
    <xf numFmtId="0" fontId="3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/>
    </xf>
    <xf numFmtId="0" fontId="0" fillId="0" borderId="0" xfId="0" applyProtection="1">
      <protection locked="0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justify" vertical="center" wrapText="1"/>
    </xf>
    <xf numFmtId="0" fontId="1" fillId="0" borderId="0" xfId="0" applyFont="1"/>
    <xf numFmtId="0" fontId="4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6" borderId="0" xfId="0" applyFont="1" applyFill="1" applyAlignment="1">
      <alignment horizontal="justify" vertical="center" wrapText="1"/>
    </xf>
    <xf numFmtId="0" fontId="5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0" fillId="6" borderId="0" xfId="0" applyFill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8" borderId="6" xfId="0" applyFill="1" applyBorder="1" applyAlignment="1">
      <alignment horizontal="center" vertical="center" wrapText="1"/>
    </xf>
    <xf numFmtId="22" fontId="0" fillId="3" borderId="6" xfId="0" applyNumberForma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22" fontId="0" fillId="8" borderId="6" xfId="0" applyNumberFormat="1" applyFill="1" applyBorder="1" applyAlignment="1">
      <alignment horizontal="center" vertical="center" wrapText="1"/>
    </xf>
    <xf numFmtId="22" fontId="0" fillId="7" borderId="6" xfId="0" applyNumberForma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top"/>
    </xf>
    <xf numFmtId="0" fontId="9" fillId="10" borderId="9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8" borderId="6" xfId="0" applyFill="1" applyBorder="1" applyAlignment="1">
      <alignment vertical="center" wrapText="1"/>
    </xf>
    <xf numFmtId="0" fontId="0" fillId="0" borderId="0" xfId="0" applyAlignment="1" applyProtection="1">
      <alignment vertical="center" wrapText="1"/>
      <protection locked="0"/>
    </xf>
    <xf numFmtId="0" fontId="9" fillId="10" borderId="6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11" borderId="8" xfId="0" applyFill="1" applyBorder="1" applyAlignment="1">
      <alignment horizontal="center" vertical="center" wrapText="1"/>
    </xf>
    <xf numFmtId="0" fontId="9" fillId="12" borderId="7" xfId="0" applyFont="1" applyFill="1" applyBorder="1" applyAlignment="1">
      <alignment horizontal="center" vertical="center" wrapText="1"/>
    </xf>
    <xf numFmtId="0" fontId="0" fillId="11" borderId="0" xfId="0" applyFill="1" applyProtection="1">
      <protection locked="0"/>
    </xf>
    <xf numFmtId="0" fontId="9" fillId="10" borderId="12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4" borderId="0" xfId="0" applyFill="1" applyAlignment="1" applyProtection="1">
      <alignment horizontal="center" vertical="center"/>
      <protection locked="0"/>
    </xf>
  </cellXfs>
  <cellStyles count="2">
    <cellStyle name="Hyperlink" xfId="1" xr:uid="{00000000-000B-0000-0000-000008000000}"/>
    <cellStyle name="Normal" xfId="0" builtinId="0"/>
  </cellStyles>
  <dxfs count="131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h:mm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\ h:mm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h:mm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h:mm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h:mm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C0E6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justify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justify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E71E3"/>
      <color rgb="FFCAEDFB"/>
      <color rgb="FFC0E6F5"/>
      <color rgb="FFF2CEEF"/>
      <color rgb="FFA77C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KIM" id="{D913FCF6-B506-4D73-8787-FD1EF270D823}">
    <nsvFilter filterId="{245223DA-FD1C-4D1C-96FE-10E39722BE44}" ref="A1:CA2" tableId="27">
      <columnFilter colId="3" id="{5867345F-BC23-4DC9-BCB3-FE429BB6AD78}">
        <filter colId="3">
          <x:filters>
            <x:filter val="Kimberly Natalia Tovar Vargas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imientos al día"/>
            <x:filter val="Segundo seguimiento pendiente"/>
            <x:filter val="Tercer seguimiento pendiente"/>
          </x:filters>
        </filter>
      </columnFilter>
    </nsvFilter>
  </namedSheetView>
  <namedSheetView name="Ver1" id="{F18B4381-D6B7-47FF-B7CA-B696899D4C63}">
    <nsvFilter filterId="{245223DA-FD1C-4D1C-96FE-10E39722BE44}" ref="A1:CA2" tableId="27">
      <columnFilter colId="3" id="{5867345F-BC23-4DC9-BCB3-FE429BB6AD78}">
        <filter colId="3">
          <x:filters>
            <x:filter val="Kimberly Natalia Tovar Vargas"/>
          </x:filters>
        </filter>
      </columnFilter>
    </nsvFilter>
  </namedSheetView>
  <namedSheetView name="Vista 1" id="{89C5D732-E067-4803-AB2D-D6DBF4E8385F}"/>
  <namedSheetView name="Vista 2" id="{FCA3B05E-B303-4E24-9E3B-3B32738DB0ED}"/>
  <namedSheetView name="Vista 3" id="{8A038EDC-EE89-4063-A06C-78BC099673FA}"/>
  <namedSheetView name="Vista 4" id="{2E7AD009-C064-449C-AF8C-BFFB0CF2FA26}"/>
  <namedSheetView name="Vista 5" id="{E41A10B9-4B77-4ADE-BB8D-B24DC3E95608}"/>
  <namedSheetView name="Vista 6" id="{1BBFAA97-ED7E-4A16-BA31-8E026BDB0239}"/>
  <namedSheetView name="Vista 7" id="{D64BCA18-5CE6-4EA5-92B8-A96D6A2365ED}"/>
  <namedSheetView name="Vista 8" id="{BB1A221C-CDC1-4E90-8A50-DD2F4CF4DAFF}"/>
  <namedSheetView name="Vista 9" id="{E6375748-874E-49DF-AD13-36CEA8EC8B8A}"/>
  <namedSheetView name="Vista 10" id="{1B09F1BC-472C-40B1-90C5-A1ABF0059056}">
    <nsvFilter filterId="{245223DA-FD1C-4D1C-96FE-10E39722BE44}" ref="A1:CA2" tableId="27"/>
  </namedSheetView>
  <namedSheetView name="Vista 11" id="{AAE185B2-C681-43BE-98F6-3EDE0DF7BC0F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12" id="{56529316-F960-4A77-A5EC-B60A48E846DC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13" id="{EF3B95DC-C695-4E32-8221-2C2278470D8A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4" id="{9C6B288A-50E9-4FE1-AEF2-D67360EBEBB4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15" id="{9ABEEDAA-0BAB-4473-99DC-980AD9CAD466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16" id="{9438E2D7-3C30-4A74-9888-12F78CA98905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7" id="{34752C45-8B2D-436B-AC1E-18937A641FF0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18" id="{D3BF82D9-A04D-4884-8D1A-54E40FC5BAAF}">
    <nsvFilter filterId="{245223DA-FD1C-4D1C-96FE-10E39722BE44}" ref="A1:CA2" tableId="27">
      <columnFilter colId="2" id="{0755E55B-8710-447E-BAB6-DBBC0482465F}">
        <filter colId="2">
          <x:filters>
            <x:filter val="1000471579"/>
            <x:filter val="1005362638"/>
            <x:filter val="55190156"/>
            <x:filter val="55197725"/>
            <x:filter val="55219876"/>
            <x:filter val="55224782"/>
            <x:filter val="57461437"/>
            <x:filter val="65730534"/>
            <x:filter val="79168966"/>
          </x:filters>
        </filter>
      </columnFilter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19" id="{067BD9C5-CE52-4256-90DA-912939D74D83}">
    <nsvFilter filterId="{245223DA-FD1C-4D1C-96FE-10E39722BE44}" ref="A1:CA2" tableId="27">
      <columnFilter colId="2" id="{0755E55B-8710-447E-BAB6-DBBC0482465F}">
        <filter colId="2">
          <x:filters>
            <x:filter val="1000471579"/>
            <x:filter val="1005362638"/>
            <x:filter val="55190156"/>
            <x:filter val="55197725"/>
            <x:filter val="55219876"/>
            <x:filter val="55224782"/>
            <x:filter val="57461437"/>
            <x:filter val="65730534"/>
            <x:filter val="79168966"/>
          </x:filters>
        </filter>
      </columnFilter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20" id="{EE9F251B-4ECE-473E-821D-935D8EAA959F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21" id="{6D5A2C83-48C9-44AF-9016-C792F9244BCC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22" id="{5A09F97B-4236-411C-B7D8-DDC7430E1D05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23" id="{92A2C567-AE36-4000-9E6D-26914A644F60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24" id="{F1CF4597-5816-4A29-AFA8-64A4A93C4818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25" id="{2426CD9C-E245-444A-BC3A-51F9216E857B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26" id="{6535DD23-A0A9-4D7F-8631-862640AD92F2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27" id="{B99C2AA9-4F5F-4C4B-8F62-BB754ECADCB8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28" id="{D323AAEF-6EDE-4752-AE0A-1A9135EAEE84}">
    <nsvFilter filterId="{245223DA-FD1C-4D1C-96FE-10E39722BE44}" ref="A1:CA2" tableId="27">
      <columnFilter colId="2" id="{0755E55B-8710-447E-BAB6-DBBC0482465F}">
        <filter colId="2">
          <x:filters>
            <x:filter val="1005362638"/>
            <x:filter val="1023013797"/>
            <x:filter val="51705331"/>
            <x:filter val="52106041"/>
            <x:filter val="52703675"/>
          </x:filters>
        </filter>
      </columnFilter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29" id="{88DE75BC-2065-4552-90FD-4A1B5BFE3CF7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30" id="{6BFC13EE-86A1-4700-8C1C-90EEA97388DD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31" id="{36D001A5-3263-49B2-A6DF-9E4C4A5F82AE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32" id="{73D6CFAB-053E-40B1-90FC-4BAA5EB2076B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33" id="{75A134D8-57B2-4576-A001-0A5BC8749625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34" id="{0C88F89F-FE00-43B1-8AF5-FC3109B58F17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35" id="{92260D14-36C2-4EBD-A5BC-D4ED3306F2DC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36" id="{AD51907A-4EC8-48DD-8F10-0F14B8FA5621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37" id="{5BCE53AE-0D1D-417B-A84E-92243DB6FDB6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38" id="{F7DFC9CB-0E31-4B56-BA9C-22A8BF03E24C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39" id="{AB61598B-B514-4DF7-8BDF-11BA689EF5B1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40" id="{CA7358F3-7567-470B-A450-7AD31655EE5A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41" id="{AE93F378-0326-43DD-A597-23C3AD50B7A7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42" id="{6ACD3E8C-4FA7-4699-942B-4D6C71E77DBA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43" id="{B2A843B3-64AC-41A7-B610-CADC181BA1AE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Tercer seguimiento pendiente"/>
          </x:filters>
        </filter>
      </columnFilter>
    </nsvFilter>
  </namedSheetView>
  <namedSheetView name="Vista 44" id="{9A6A4DE1-4B96-41E8-85AD-A62784FE7073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45" id="{05F9B56C-2A58-4363-BF26-30D4B5D88CF5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46" id="{31545081-C08A-472A-8DCC-443F75197E86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47" id="{48B56E3D-19F1-497E-99E9-F57E4FE45A12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48" id="{7FAAF535-C914-4914-BC71-882835F31D89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Primer seguimiento pendiente"/>
          </x:filters>
        </filter>
      </columnFilter>
    </nsvFilter>
  </namedSheetView>
  <namedSheetView name="Vista 49" id="{E03A4F40-7842-4297-BFB7-69B8414B7E38}">
    <nsvFilter filterId="{245223DA-FD1C-4D1C-96FE-10E39722BE44}" ref="A1:CA2" tableId="27">
      <columnFilter colId="2" id="{0755E55B-8710-447E-BAB6-DBBC0482465F}">
        <filter colId="2">
          <x:filters>
            <x:filter val="1024487477"/>
          </x:filters>
        </filter>
      </columnFilter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50" id="{5F369BF3-6935-445B-9AAA-38EF0D888013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51" id="{FFA2606A-C89F-4204-A9EC-25B67F23E834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52" id="{259BA8BA-49A4-4556-973C-4EF552306F41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53" id="{849921FC-B250-408A-BB7E-D163AED4EA3B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54" id="{027ADA0D-7312-4EB4-8136-DA003BF0A0AF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55" id="{9689B68F-9A01-48E1-B4D9-7E75C5F4918D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56" id="{2DDC8E2F-F1B2-47AC-AA07-9309F43B6AE5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57" id="{35E517B7-E84D-4FDC-91DE-BADF3E2401C0}">
    <nsvFilter filterId="{245223DA-FD1C-4D1C-96FE-10E39722BE44}" ref="A1:CA2" tableId="27">
      <columnFilter colId="2" id="{0755E55B-8710-447E-BAB6-DBBC0482465F}">
        <filter colId="2">
          <x:filters>
            <x:filter val="1001329158"/>
          </x:filters>
        </filter>
      </columnFilter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58" id="{8BE58965-888A-4E25-A102-855A4F7F1FC2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59" id="{D1906368-89D3-43CE-AB57-3B68BDF603F5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60" id="{AF2E407B-9199-4C46-987A-6E96C89D420A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61" id="{D946ABF2-B117-4F89-8527-91962861E685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62" id="{131A7BC3-1367-4A07-AF24-21E98B3398D1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63" id="{83DCD206-0115-49AB-8CAC-8BCAE18CF3F8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64" id="{16E2DF87-341F-483D-BCD0-B712DF432C8C}">
    <nsvFilter filterId="{245223DA-FD1C-4D1C-96FE-10E39722BE44}" ref="A1:CA2" tableId="27">
      <columnFilter colId="2" id="{0755E55B-8710-447E-BAB6-DBBC0482465F}">
        <filter colId="2">
          <x:filters>
            <x:filter val="51705331"/>
          </x:filters>
        </filter>
      </columnFilter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65" id="{70651003-EBEF-410F-9297-AFA14BA235D8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66" id="{B4BAFF64-FFF5-4FCE-A608-2644AEFF55EE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67" id="{9ECE1054-10AE-4795-A9DB-C708130E2668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68" id="{238D6028-214A-47CA-8A68-D472FF6F55D2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69" id="{E28DEC83-9579-49AC-A696-50D5C2AC5798}">
    <nsvFilter filterId="{245223DA-FD1C-4D1C-96FE-10E39722BE44}" ref="A1:CA2" tableId="27">
      <columnFilter colId="3" id="{5867345F-BC23-4DC9-BCB3-FE429BB6AD78}">
        <filter colId="3">
          <x:filters>
            <x:filter val="José Felipe Calixto"/>
          </x:filters>
        </filter>
      </columnFilter>
    </nsvFilter>
  </namedSheetView>
  <namedSheetView name="Vista 70" id="{22590E04-1852-4D4B-85FF-6DB7CDD679E5}">
    <nsvFilter filterId="{245223DA-FD1C-4D1C-96FE-10E39722BE44}" ref="A1:CA2" tableId="27">
      <columnFilter colId="3" id="{5867345F-BC23-4DC9-BCB3-FE429BB6AD78}">
        <filter colId="3">
          <x:filters>
            <x:filter val="José Felipe Calixto"/>
          </x:filters>
        </filter>
      </columnFilter>
    </nsvFilter>
  </namedSheetView>
  <namedSheetView name="Vista 71" id="{14DFEFAD-B456-404F-915E-DB4246E49C5C}">
    <nsvFilter filterId="{245223DA-FD1C-4D1C-96FE-10E39722BE44}" ref="A1:CA2" tableId="27">
      <columnFilter colId="3" id="{5867345F-BC23-4DC9-BCB3-FE429BB6AD78}">
        <filter colId="3">
          <x:filters>
            <x:filter val="José Felipe Calixto"/>
          </x:filters>
        </filter>
      </columnFilter>
    </nsvFilter>
  </namedSheetView>
  <namedSheetView name="Vista 72" id="{D531D827-6166-4A9F-B6E3-2175C8BDCA4D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73" id="{CA7CCE74-3FCC-4DA3-B1E8-F7AD108905A5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74" id="{31E1803B-6FEE-44AD-9092-0E187A632672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75" id="{4338451A-3961-497E-B9D2-FA8E2AADA242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Segundo seguimiento pendiente"/>
            <x:filter val="Tercer seguimiento pendiente"/>
          </x:filters>
        </filter>
      </columnFilter>
    </nsvFilter>
  </namedSheetView>
  <namedSheetView name="Vista 76" id="{239D9BEB-AEFC-4DED-A3F7-3A2D87AD40D3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77" id="{A5B4A857-6443-47E4-9AE3-1AC59F026A2C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78" id="{5CBC4E74-F993-4F11-81D8-C58422C8A1B0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79" id="{87099437-41FF-417A-A5F8-EA30AC8C9BEE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80" id="{01272C29-54B0-4760-B2C5-7ED5DD2F7E57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81" id="{CED50216-ABF5-4130-8AA5-FED67FF62153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82" id="{B70AB656-48E6-49CC-BA50-884508ED0C76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83" id="{8F721F29-4834-441B-92FC-775BD8A0144E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Quinto seguimiento pendiente"/>
            <x:filter val="Seguimientos al día"/>
            <x:filter val="Segundo seguimiento pendiente"/>
            <x:filter val="Tercer seguimiento pendiente"/>
          </x:filters>
        </filter>
      </columnFilter>
    </nsvFilter>
  </namedSheetView>
  <namedSheetView name="Vista 84" id="{C9130168-1B11-4DDE-BC14-9B51FCBAFBB8}">
    <nsvFilter filterId="{245223DA-FD1C-4D1C-96FE-10E39722BE44}" ref="A1:CA2" tableId="27">
      <columnFilter colId="9" id="{720C924E-6328-43DE-896D-8C201B021184}">
        <filter colId="9">
          <x:filters>
            <x:filter val="Cuarto seguimiento pendiente"/>
            <x:filter val="Primer seguimiento pendiente"/>
            <x:filter val="Quinto seguimiento pendiente"/>
            <x:filter val="Seguimientos al día"/>
            <x:filter val="Segundo seguimiento pendiente"/>
            <x:filter val="Tercer seguimiento pendiente"/>
          </x:filters>
        </filter>
      </columnFilter>
    </nsvFilter>
  </namedSheetView>
  <namedSheetView name="Vista 85" id="{293AA061-AF62-4F51-A73B-D1021F8B7B64}">
    <nsvFilter filterId="{245223DA-FD1C-4D1C-96FE-10E39722BE44}" ref="A1:CA2" tableId="27">
      <columnFilter colId="9" id="{720C924E-6328-43DE-896D-8C201B021184}">
        <filter colId="9">
          <x:filters>
            <x:filter val="Cuarto seguimiento pendiente"/>
            <x:filter val="Primer seguimiento pendiente"/>
            <x:filter val="Quinto seguimiento pendiente"/>
            <x:filter val="Seguimientos al día"/>
            <x:filter val="Segundo seguimiento pendiente"/>
            <x:filter val="Tercer seguimiento pendiente"/>
          </x:filters>
        </filter>
      </columnFilter>
    </nsvFilter>
  </namedSheetView>
  <namedSheetView name="Vista 86" id="{E0B6AD1D-DBFB-46A7-87DF-DCAF9F8E6B5A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87" id="{1CE0AE2D-36E3-4C2A-9FAF-1FBA283BE1C8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88" id="{9A877023-D819-4074-8B14-A24F8E4E5703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89" id="{2DCD34DE-3956-47DF-BB53-A8438B6F8633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</nsvFilter>
  </namedSheetView>
  <namedSheetView name="Vista 90" id="{F7E8A2BE-7D51-4D3F-9E2E-D9FE183D2A08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91" id="{59182C86-7541-4B81-BCE5-E144795C87A3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Primer seguimiento pendiente"/>
          </x:filters>
        </filter>
      </columnFilter>
    </nsvFilter>
  </namedSheetView>
  <namedSheetView name="Vista 92" id="{D196CE32-53A1-4F4F-B3FB-2479E14DC329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93" id="{426212E2-2C35-458C-8461-70E06A725110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94" id="{0E17438F-9473-4B6D-A483-52C8CE3DB2E6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95" id="{3DB5DFDD-5DAF-4ED0-B550-BF6D7FF96A24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96" id="{F8C1C4AC-89D5-4FAB-9936-0343BDD5A113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97" id="{738DD5E2-A945-4E23-9F6B-1A5BD1372FD7}">
    <nsvFilter filterId="{245223DA-FD1C-4D1C-96FE-10E39722BE44}" ref="A1:CA2" tableId="27">
      <columnFilter colId="3" id="{5867345F-BC23-4DC9-BCB3-FE429BB6AD78}">
        <filter colId="3">
          <x:filters>
            <x:filter val="Jenny Elizeth Vega León"/>
          </x:filters>
        </filter>
      </columnFilter>
    </nsvFilter>
  </namedSheetView>
  <namedSheetView name="Vista 98" id="{64FA9D8D-F249-41C5-88ED-31F7F09C2AD2}">
    <nsvFilter filterId="{245223DA-FD1C-4D1C-96FE-10E39722BE44}" ref="A1:CA2" tableId="27">
      <columnFilter colId="3" id="{5867345F-BC23-4DC9-BCB3-FE429BB6AD78}">
        <filter colId="3">
          <x:filters>
            <x:filter val="Jenny Elizeth Vega León"/>
          </x:filters>
        </filter>
      </columnFilter>
    </nsvFilter>
  </namedSheetView>
  <namedSheetView name="Vista 99" id="{64D8C6A9-B3E3-4708-85C8-83C8B31BB0C5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00" id="{75313D95-B3C7-4DDE-A9C6-F1EE4A619659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01" id="{E0F88FFB-02B8-42BA-B9D1-93845B33D84A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02" id="{D255D9D2-A1FB-45D7-B7CB-6AC3CEF78201}">
    <nsvFilter filterId="{245223DA-FD1C-4D1C-96FE-10E39722BE44}" ref="A1:CA2" tableId="27"/>
  </namedSheetView>
  <namedSheetView name="Vista 103" id="{7B90DC05-304A-4A79-A2FB-D99243F5CA6A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04" id="{2057F27E-A072-417E-9B0C-5C5FA5470826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05" id="{8F858E83-038C-4E75-A032-5CEB5E5DB6E3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06" id="{E4F98983-F535-4DBB-85D8-12481FF20CF3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07" id="{29D2352E-72B4-49A7-B496-24BBAD50A176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08" id="{07C79C2D-3616-4BE0-998C-28041DF00346}">
    <nsvFilter filterId="{245223DA-FD1C-4D1C-96FE-10E39722BE44}" ref="A1:CA2" tableId="27"/>
  </namedSheetView>
  <namedSheetView name="Vista 109" id="{CB812391-B578-4B05-934E-7D855AC90795}">
    <nsvFilter filterId="{245223DA-FD1C-4D1C-96FE-10E39722BE44}" ref="A1:CA2" tableId="27"/>
  </namedSheetView>
  <namedSheetView name="Vista 110" id="{DFB16E9A-9F31-4F11-BFE4-98874946D7A6}">
    <nsvFilter filterId="{245223DA-FD1C-4D1C-96FE-10E39722BE44}" ref="A1:CA2" tableId="27"/>
  </namedSheetView>
  <namedSheetView name="Vista 111" id="{2C07EB1F-4E0F-4110-B0FB-6F58D928A164}">
    <nsvFilter filterId="{245223DA-FD1C-4D1C-96FE-10E39722BE44}" ref="A1:CA2" tableId="27">
      <columnFilter colId="3" id="{5867345F-BC23-4DC9-BCB3-FE429BB6AD78}">
        <filter colId="3">
          <x:filters>
            <x:filter val="JENNIFER GERALDINNE VELANDIA NOVOA"/>
          </x:filters>
        </filter>
      </columnFilter>
      <columnFilter colId="9" id="{720C924E-6328-43DE-896D-8C201B021184}">
        <filter colId="9">
          <x:filters>
            <x:filter val="Seguimientos al día"/>
          </x:filters>
        </filter>
      </columnFilter>
    </nsvFilter>
  </namedSheetView>
  <namedSheetView name="Vista 112" id="{A3CFB2B3-0D2D-4067-9A97-07F5747C3AF6}">
    <nsvFilter filterId="{245223DA-FD1C-4D1C-96FE-10E39722BE44}" ref="A1:CA2" tableId="27"/>
  </namedSheetView>
  <namedSheetView name="Vista 113" id="{FF986ADE-0D0A-4938-915A-66BD4343689E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14" id="{6306CC03-8C68-467D-8B2B-350099EEBF80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15" id="{386CF660-FEF7-4E67-BA07-DDCA519FBD0E}">
    <nsvFilter filterId="{245223DA-FD1C-4D1C-96FE-10E39722BE44}" ref="A1:CA2" tableId="27"/>
  </namedSheetView>
  <namedSheetView name="Vista 116" id="{BD5C6837-5A11-4676-80C1-2E2E03487E19}">
    <nsvFilter filterId="{245223DA-FD1C-4D1C-96FE-10E39722BE44}" ref="A1:CA2" tableId="27"/>
  </namedSheetView>
  <namedSheetView name="Vista 117" id="{A2DB8B85-53B5-49DB-9E85-CA68AAAEC936}">
    <nsvFilter filterId="{245223DA-FD1C-4D1C-96FE-10E39722BE44}" ref="A1:CA2" tableId="27">
      <columnFilter colId="3" id="{5867345F-BC23-4DC9-BCB3-FE429BB6AD78}">
        <filter colId="3">
          <x:filters>
            <x:filter val="José Felipe Calixto"/>
          </x:filters>
        </filter>
      </columnFilter>
    </nsvFilter>
  </namedSheetView>
  <namedSheetView name="Vista 118" id="{72CA383F-EBA4-495E-9BE3-3F0D8DC76FF0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  <columnFilter colId="9" id="{720C924E-6328-43DE-896D-8C201B021184}">
        <filter colId="9">
          <x:filters>
            <x:filter val="Primer seguimiento pendiente"/>
            <x:filter val="Quinto seguimiento pendiente"/>
            <x:filter val="Seguimientos al día"/>
            <x:filter val="Segundo seguimiento pendiente"/>
            <x:filter val="Tercer seguimiento pendiente"/>
          </x:filters>
        </filter>
      </columnFilter>
    </nsvFilter>
  </namedSheetView>
  <namedSheetView name="Vista 119" id="{C828BB72-D946-4926-9582-7B785F58DCEF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20" id="{1D85B5F5-D10D-4B30-92C1-F72C7B04084B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21" id="{4F10B292-02F0-4581-AFDB-C2A9D2DEC6BC}">
    <nsvFilter filterId="{245223DA-FD1C-4D1C-96FE-10E39722BE44}" ref="A1:CA2" tableId="27">
      <columnFilter colId="9" id="{720C924E-6328-43DE-896D-8C201B021184}">
        <filter colId="9">
          <x:filters>
            <x:filter val="Cuarto seguimiento pendiente"/>
            <x:filter val="Primer seguimiento pendiente"/>
            <x:filter val="Quinto seguimiento pendiente"/>
            <x:filter val="Segundo seguimiento pendiente"/>
            <x:filter val="Tercer seguimiento pendiente"/>
          </x:filters>
        </filter>
      </columnFilter>
    </nsvFilter>
  </namedSheetView>
  <namedSheetView name="Vista 122" id="{D3F3EDEA-1770-4813-8FC9-D8CBE69E69C4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23" id="{979642D3-5A6F-4F61-80E6-4DD04FCA4B05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24" id="{11B808CB-F83A-43B3-BDE7-0C50964D044F}">
    <nsvFilter filterId="{245223DA-FD1C-4D1C-96FE-10E39722BE44}" ref="A1:CA2" tableId="27">
      <columnFilter colId="3" id="{5867345F-BC23-4DC9-BCB3-FE429BB6AD78}">
        <filter colId="3">
          <x:filters>
            <x:filter val="Jenny Elizeth Vega León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Quinto seguimiento pendiente"/>
            <x:filter val="Seguimientos al día"/>
            <x:filter val="Segundo seguimiento pendiente"/>
            <x:filter val="Tercer seguimiento pendiente"/>
          </x:filters>
        </filter>
      </columnFilter>
    </nsvFilter>
  </namedSheetView>
  <namedSheetView name="Vista 125" id="{6CEBEF2E-1629-43ED-8AB9-3A8327D0D1CA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26" id="{AB06A700-03CC-4BEE-954B-E3017C64097F}">
    <nsvFilter filterId="{245223DA-FD1C-4D1C-96FE-10E39722BE44}" ref="A1:CA2" tableId="27"/>
  </namedSheetView>
  <namedSheetView name="Vista 127" id="{EC17417B-9060-4204-9E75-BDC5A2B064DC}">
    <nsvFilter filterId="{245223DA-FD1C-4D1C-96FE-10E39722BE44}" ref="A1:CA2" tableId="27">
      <columnFilter colId="3" id="{5867345F-BC23-4DC9-BCB3-FE429BB6AD78}">
        <filter colId="3">
          <x:filters>
            <x:filter val="Jenny Elizeth Vega León"/>
          </x:filters>
        </filter>
      </columnFilter>
      <columnFilter colId="9" id="{720C924E-6328-43DE-896D-8C201B021184}">
        <filter colId="9">
          <x:filters>
            <x:filter val="Caso Cerrado"/>
            <x:filter val="Cuarto seguimiento pendiente"/>
            <x:filter val="Primer seguimiento pendiente"/>
            <x:filter val="Quinto seguimiento pendiente"/>
            <x:filter val="Segundo seguimiento pendiente"/>
            <x:filter val="Tercer seguimiento pendiente"/>
          </x:filters>
        </filter>
      </columnFilter>
    </nsvFilter>
  </namedSheetView>
  <namedSheetView name="Vista 128" id="{B52AB216-475A-4E84-A96A-2CAC80FA9ED3}">
    <nsvFilter filterId="{245223DA-FD1C-4D1C-96FE-10E39722BE44}" ref="A1:CA2" tableId="27"/>
  </namedSheetView>
  <namedSheetView name="Vista 129" id="{AEEEC805-BAAC-4998-ABEB-3A787BE5977B}">
    <nsvFilter filterId="{245223DA-FD1C-4D1C-96FE-10E39722BE44}" ref="A1:CA2" tableId="27"/>
  </namedSheetView>
  <namedSheetView name="Vista 130" id="{5E3F2999-230F-42B6-B9DD-570225444922}">
    <nsvFilter filterId="{245223DA-FD1C-4D1C-96FE-10E39722BE44}" ref="A1:CA2" tableId="27"/>
  </namedSheetView>
  <namedSheetView name="Vista 131" id="{D550213B-C5E1-4A50-ADB0-2B7C2149A4D1}">
    <nsvFilter filterId="{245223DA-FD1C-4D1C-96FE-10E39722BE44}" ref="A1:CA2" tableId="27"/>
  </namedSheetView>
  <namedSheetView name="Vista 132" id="{BEF1DB0A-9F7A-482D-8DF3-3D5D3889D119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33" id="{91730572-9888-4418-A410-B209CBCA21BF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34" id="{EB0781C6-252C-48CF-811D-13928F2458A3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35" id="{3546D36A-CE1C-4022-B72E-0BD284130E0E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36" id="{4A5FB9B8-00A2-4BDF-B4F0-C38BAF5F25C1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37" id="{44C8E1FE-4C60-4B50-8487-4423EA40859B}">
    <nsvFilter filterId="{245223DA-FD1C-4D1C-96FE-10E39722BE44}" ref="A1:CA2" tableId="27">
      <columnFilter colId="3" id="{5867345F-BC23-4DC9-BCB3-FE429BB6AD78}">
        <filter colId="3">
          <x:filters>
            <x:filter val="Jenny Elizeth Vega León"/>
          </x:filters>
        </filter>
      </columnFilter>
      <columnFilter colId="9" id="{720C924E-6328-43DE-896D-8C201B021184}">
        <filter colId="9">
          <x:filters>
            <x:filter val="Cuarto seguimiento pendiente"/>
            <x:filter val="Tercer seguimiento pendiente"/>
          </x:filters>
        </filter>
      </columnFilter>
    </nsvFilter>
  </namedSheetView>
  <namedSheetView name="Vista 138" id="{104F4E07-1E06-4791-AF71-ACD39052AEFF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39" id="{C017782E-23B5-4BA3-AB8A-F05726301A39}">
    <nsvFilter filterId="{245223DA-FD1C-4D1C-96FE-10E39722BE44}" ref="A1:CA2" tableId="27">
      <columnFilter colId="3" id="{5867345F-BC23-4DC9-BCB3-FE429BB6AD78}">
        <filter colId="3">
          <x:filters>
            <x:filter val="Jenny Elizeth Vega León"/>
          </x:filters>
        </filter>
      </columnFilter>
    </nsvFilter>
  </namedSheetView>
  <namedSheetView name="Vista 140" id="{AACA8CC8-7B9D-4C2F-9DCE-5BD09938DFFB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41" id="{18287ADD-FCEF-4AB3-BE98-5C65B641865A}">
    <nsvFilter filterId="{245223DA-FD1C-4D1C-96FE-10E39722BE44}" ref="A1:CA2" tableId="27"/>
  </namedSheetView>
  <namedSheetView name="Vista 142" id="{15C896F9-84D4-411E-90C5-E873E6C57923}">
    <nsvFilter filterId="{245223DA-FD1C-4D1C-96FE-10E39722BE44}" ref="A1:CA2" tableId="27"/>
  </namedSheetView>
  <namedSheetView name="Vista 143" id="{C7426A2C-DB35-4EC6-97A3-2324587991B0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44" id="{84F3DC7F-3185-4C6E-8F99-15AF38FB6ED4}">
    <nsvFilter filterId="{245223DA-FD1C-4D1C-96FE-10E39722BE44}" ref="A1:CA2" tableId="27">
      <columnFilter colId="3" id="{5867345F-BC23-4DC9-BCB3-FE429BB6AD78}">
        <filter colId="3">
          <x:filters>
            <x:filter val="Jenny Elizeth Vega León"/>
          </x:filters>
        </filter>
      </columnFilter>
      <columnFilter colId="9" id="{720C924E-6328-43DE-896D-8C201B021184}">
        <filter colId="9">
          <x:filters>
            <x:filter val="Cuarto seguimiento pendiente"/>
            <x:filter val="Primer seguimiento pendiente"/>
            <x:filter val="Quinto seguimiento pendiente"/>
            <x:filter val="Tercer seguimiento pendiente"/>
          </x:filters>
        </filter>
      </columnFilter>
    </nsvFilter>
  </namedSheetView>
  <namedSheetView name="Vista 145" id="{D9C2A12F-1170-460C-BF5A-C09B234286C3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46" id="{119CF6C5-5118-4A31-8836-39C6038F113F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47" id="{A81E42B3-5B73-4F28-A4FF-F55FF5CEA574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48" id="{891B8657-E218-45BC-A5CD-0BAFD422D269}">
    <nsvFilter filterId="{245223DA-FD1C-4D1C-96FE-10E39722BE44}" ref="A1:CA2" tableId="27">
      <columnFilter colId="3" id="{5867345F-BC23-4DC9-BCB3-FE429BB6AD78}">
        <filter colId="3">
          <x:filters>
            <x:filter val="Jenny Elizeth Vega León"/>
          </x:filters>
        </filter>
      </columnFilter>
      <columnFilter colId="9" id="{720C924E-6328-43DE-896D-8C201B021184}">
        <filter colId="9">
          <x:filters>
            <x:filter val="Quinto seguimiento pendiente"/>
            <x:filter val="Tercer seguimiento pendiente"/>
          </x:filters>
        </filter>
      </columnFilter>
    </nsvFilter>
  </namedSheetView>
  <namedSheetView name="Vista 149" id="{F02041AD-5DBF-4F1C-A4D3-E7EBCEF5B838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50" id="{424B8340-86C5-467D-9A31-A70B045796EA}">
    <nsvFilter filterId="{245223DA-FD1C-4D1C-96FE-10E39722BE44}" ref="A1:CA2" tableId="27"/>
  </namedSheetView>
  <namedSheetView name="Vista 151" id="{58E4DA37-EC02-4BCF-8F0B-FF3B144BE25E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Vista 152" id="{09DFB2E7-CD44-492E-94E7-F0705099787F}">
    <nsvFilter filterId="{245223DA-FD1C-4D1C-96FE-10E39722BE44}" ref="A1:CA2" tableId="27">
      <columnFilter colId="3" id="{5867345F-BC23-4DC9-BCB3-FE429BB6AD78}">
        <filter colId="3">
          <x:filters>
            <x:filter val="Andrés Vera Herrera"/>
          </x:filters>
        </filter>
      </columnFilter>
    </nsvFilter>
  </namedSheetView>
  <namedSheetView name="YURA" id="{660A35E3-B50A-4C66-8514-674F7835EA40}">
    <nsvFilter filterId="{245223DA-FD1C-4D1C-96FE-10E39722BE44}" ref="A1:CA2" tableId="27">
      <columnFilter colId="2" id="{0755E55B-8710-447E-BAB6-DBBC0482465F}">
        <filter colId="2">
          <x:filters>
            <x:filter val="1018490338"/>
          </x:filters>
        </filter>
      </columnFilter>
      <columnFilter colId="3" id="{5867345F-BC23-4DC9-BCB3-FE429BB6AD78}">
        <filter colId="3">
          <x:filters>
            <x:filter val="Yurani Sileni Cuchivaque Díaz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A30FE-6408-411C-9676-E202FCEC45A2}" name="Tabla1" displayName="Tabla1" ref="A1:A16" totalsRowShown="0">
  <autoFilter ref="A1:A16" xr:uid="{D53A30FE-6408-411C-9676-E202FCEC45A2}"/>
  <tableColumns count="1">
    <tableColumn id="1" xr3:uid="{BD785AD3-A5CC-48A6-A27B-AD0B2966CCB1}" name="Sec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F52FB2-29B2-4E9B-9338-D49034B7764D}" name="Tabla2" displayName="Tabla2" ref="C1:C4" totalsRowShown="0">
  <autoFilter ref="C1:C4" xr:uid="{13F52FB2-29B2-4E9B-9338-D49034B7764D}"/>
  <tableColumns count="1">
    <tableColumn id="1" xr3:uid="{62576758-4C94-40A8-92EB-41B3C4B07BD8}" name="Ámbit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064DB7-772C-4F2A-8F4B-EEEC801771E0}" name="Tabla4" displayName="Tabla4" ref="E1:E4" totalsRowShown="0">
  <autoFilter ref="E1:E4" xr:uid="{F2064DB7-772C-4F2A-8F4B-EEEC801771E0}"/>
  <tableColumns count="1">
    <tableColumn id="1" xr3:uid="{E622B5E5-F869-458C-9614-B498617601BC}" name="Nivel de riesg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8A904D-118B-4215-A1CE-C60CFC4DB23B}" name="Tabla5" displayName="Tabla5" ref="G1:G11" totalsRowShown="0">
  <autoFilter ref="G1:G11" xr:uid="{038A904D-118B-4215-A1CE-C60CFC4DB23B}"/>
  <tableColumns count="1">
    <tableColumn id="1" xr3:uid="{9056F51A-FA09-49C6-96D7-1D237488E6A4}" name="Tipo documen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B88046-A163-4E30-9ED8-948F7CAD3352}" name="Tabla6" displayName="Tabla6" ref="J1:J8" totalsRowShown="0" dataDxfId="130" tableBorderDxfId="129">
  <autoFilter ref="J1:J8" xr:uid="{A4B88046-A163-4E30-9ED8-948F7CAD3352}"/>
  <tableColumns count="1">
    <tableColumn id="1" xr3:uid="{D82614F8-2717-43AD-8FB8-499F5C605775}" name="Barreras_Salud" dataDxfId="1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959BA0-63D8-439B-B249-55F6B0C30D41}" name="Tabla7" displayName="Tabla7" ref="K1:K9" totalsRowShown="0" dataDxfId="127" tableBorderDxfId="126">
  <autoFilter ref="K1:K9" xr:uid="{BB959BA0-63D8-439B-B249-55F6B0C30D41}"/>
  <tableColumns count="1">
    <tableColumn id="1" xr3:uid="{46787634-EA58-4BB8-9E24-2445EF997D41}" name="Barreras_Proteccion_Comisaria" dataDxfId="12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DC598F-43BE-41F8-B9A5-A511CA4A8B29}" name="Tabla8" displayName="Tabla8" ref="L1:L5" totalsRowShown="0" dataDxfId="124" tableBorderDxfId="123">
  <autoFilter ref="L1:L5" xr:uid="{3CDC598F-43BE-41F8-B9A5-A511CA4A8B29}"/>
  <tableColumns count="1">
    <tableColumn id="1" xr3:uid="{3972286E-87A2-402F-B2A2-B4D216C96053}" name="Barreras_Proteccion_Fiscalia" dataDxfId="1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E5342C8-7248-4140-977B-F564E2A5F97F}" name="Tabla9" displayName="Tabla9" ref="M1:M3" totalsRowShown="0" dataDxfId="121" tableBorderDxfId="120">
  <autoFilter ref="M1:M3" xr:uid="{AE5342C8-7248-4140-977B-F564E2A5F97F}"/>
  <tableColumns count="1">
    <tableColumn id="1" xr3:uid="{73F2C679-D1E5-4D09-A4FB-69768DD6DBA4}" name="Barreras_proteccion_Juzgado_Garantias" dataDxfId="11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827CA3-F87C-4795-BDC7-9CA7B5F4497A}" name="Tabla10" displayName="Tabla10" ref="N1:N6" totalsRowShown="0" dataDxfId="118" tableBorderDxfId="117">
  <autoFilter ref="N1:N6" xr:uid="{DA827CA3-F87C-4795-BDC7-9CA7B5F4497A}"/>
  <tableColumns count="1">
    <tableColumn id="1" xr3:uid="{0912AD0A-58F7-4008-9293-CC26B912994A}" name="Barreras_proteccion_Policia" dataDxfId="11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9579E5-C5DD-4836-8205-84154F9EE6E7}" name="Tabla11" displayName="Tabla11" ref="O1:O8" totalsRowShown="0" dataDxfId="115" tableBorderDxfId="114">
  <autoFilter ref="O1:O8" xr:uid="{409579E5-C5DD-4836-8205-84154F9EE6E7}"/>
  <tableColumns count="1">
    <tableColumn id="1" xr3:uid="{04C6A084-DCD8-4BF8-87A3-0308C1139DD2}" name="Barreras_proteccion_Juzgado_municipal" dataDxfId="11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28AFBD-7EE4-43A1-8B8E-D1BA64E5448C}" name="Tabla1114" displayName="Tabla1114" ref="P1:P8" totalsRowShown="0" dataDxfId="112" tableBorderDxfId="111">
  <autoFilter ref="P1:P8" xr:uid="{DE28AFBD-7EE4-43A1-8B8E-D1BA64E5448C}"/>
  <tableColumns count="1">
    <tableColumn id="1" xr3:uid="{BB6BFFC4-1B3B-45D8-8AC8-CB1FA58CE63E}" name="Barreras_proteccion_inspeccion" dataDxfId="11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2089145-8C0F-45DA-9145-E8622D3CCD71}" name="Tabla14" displayName="Tabla14" ref="Q1:Q5" totalsRowShown="0" dataDxfId="109" tableBorderDxfId="108">
  <autoFilter ref="Q1:Q5" xr:uid="{C2089145-8C0F-45DA-9145-E8622D3CCD71}"/>
  <tableColumns count="1">
    <tableColumn id="1" xr3:uid="{3678394F-D314-429F-9024-B701525DEC06}" name="Barreras_UNP" dataDxfId="10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1A0649D-4F92-4F05-BB8E-6E2E21C691D4}" name="Tabla15" displayName="Tabla15" ref="R1:R7" totalsRowShown="0" dataDxfId="106" tableBorderDxfId="105">
  <autoFilter ref="R1:R7" xr:uid="{81A0649D-4F92-4F05-BB8E-6E2E21C691D4}"/>
  <tableColumns count="1">
    <tableColumn id="1" xr3:uid="{D19D2AE6-8423-4FA1-ABCD-8A2876FC061B}" name="Barreras_Justicia_General" dataDxfId="10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9AB5BEE-8EA5-4F27-9FBE-189CA20CB915}" name="Tabla16" displayName="Tabla16" ref="S1:S6" totalsRowShown="0" dataDxfId="103" tableBorderDxfId="102">
  <autoFilter ref="S1:S6" xr:uid="{A9AB5BEE-8EA5-4F27-9FBE-189CA20CB915}"/>
  <tableColumns count="1">
    <tableColumn id="1" xr3:uid="{8126B4C3-74E4-4151-835D-26B11E84A6BD}" name="Barreras_Justicia_Fiscalia" dataDxfId="10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34C6779-1696-417F-A591-7CF085C9A733}" name="Tabla17" displayName="Tabla17" ref="T1:T6" totalsRowShown="0" dataDxfId="100" tableBorderDxfId="99">
  <autoFilter ref="T1:T6" xr:uid="{D34C6779-1696-417F-A591-7CF085C9A733}"/>
  <tableColumns count="1">
    <tableColumn id="1" xr3:uid="{046F2D62-D730-4F07-8EAA-799CAB66C497}" name="Barreras_Justicia_juzgado" dataDxfId="9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47B046B-FCDC-4013-A173-58166D913E87}" name="Tabla18" displayName="Tabla18" ref="U1:U3" totalsRowShown="0" dataDxfId="97" tableBorderDxfId="96">
  <autoFilter ref="U1:U3" xr:uid="{047B046B-FCDC-4013-A173-58166D913E87}"/>
  <tableColumns count="1">
    <tableColumn id="1" xr3:uid="{B7C85FEF-28C9-4627-A941-F85477B78F3A}" name="Barreras_Justicia_INMLCF" dataDxfId="9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BEEB322-02BA-4463-8B53-36A83C234958}" name="Tabla19" displayName="Tabla19" ref="V1:V5" totalsRowShown="0" dataDxfId="94" tableBorderDxfId="93">
  <autoFilter ref="V1:V5" xr:uid="{7BEEB322-02BA-4463-8B53-36A83C234958}"/>
  <tableColumns count="1">
    <tableColumn id="1" xr3:uid="{397A5158-F1BF-4541-93A6-4EBBEFD2853A}" name="Barreras_Entidad" dataDxfId="9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82EA899-0BD0-4102-A6F5-45F6BB12F8F9}" name="Tabla20" displayName="Tabla20" ref="G14:G16" totalsRowShown="0">
  <autoFilter ref="G14:G16" xr:uid="{B82EA899-0BD0-4102-A6F5-45F6BB12F8F9}"/>
  <tableColumns count="1">
    <tableColumn id="1" xr3:uid="{73083A97-1AEE-4B86-860D-A060AC00B475}" name="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727ECD6-6352-4BF2-A07E-581ADD03954C}" name="Tabla21" displayName="Tabla21" ref="I14:I16" totalsRowShown="0">
  <autoFilter ref="I14:I16" xr:uid="{E727ECD6-6352-4BF2-A07E-581ADD03954C}"/>
  <tableColumns count="1">
    <tableColumn id="1" xr3:uid="{12E089A2-E189-4C56-A2B0-29DA68934941}" name="B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E6AC872-122F-4253-A367-89A8898F28F4}" name="Tabla22" displayName="Tabla22" ref="K14:K16" totalsRowShown="0">
  <autoFilter ref="K14:K16" xr:uid="{AE6AC872-122F-4253-A367-89A8898F28F4}"/>
  <tableColumns count="1">
    <tableColumn id="1" xr3:uid="{A54EC25D-3771-4717-B5FE-60A20A1237E2}" name="C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17FBFBB-E178-465F-BA96-E2BA6237A25B}" name="Tabla24" displayName="Tabla24" ref="E11:E13" totalsRowShown="0">
  <autoFilter ref="E11:E13" xr:uid="{F17FBFBB-E178-465F-BA96-E2BA6237A25B}"/>
  <tableColumns count="1">
    <tableColumn id="1" xr3:uid="{6980ECAB-E241-4087-B4C3-A49F9E00F363}" name="Atenció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0DEBF1D-7111-48D8-BCF6-78374D93DA03}" name="Tabla26" displayName="Tabla26" ref="Y1:Y15" totalsRowShown="0">
  <autoFilter ref="Y1:Y15" xr:uid="{40DEBF1D-7111-48D8-BCF6-78374D93DA03}"/>
  <tableColumns count="1">
    <tableColumn id="1" xr3:uid="{4B9A9266-5465-418C-B540-D877E5FCE5F9}" name="Sector Barrera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6B37B81-DAD6-4F3C-B7CC-B6B3AC9E4C59}" name="Tabla29" displayName="Tabla29" ref="E15:E17" totalsRowShown="0">
  <autoFilter ref="E15:E17" xr:uid="{E6B37B81-DAD6-4F3C-B7CC-B6B3AC9E4C59}"/>
  <tableColumns count="1">
    <tableColumn id="1" xr3:uid="{4CED1D9D-8ACD-422D-9F45-A54A39027C47}" name="Seguimiento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21F64A7-0CA7-4802-A0D9-57D63BBEF7AC}" name="Tabla30" displayName="Tabla30" ref="AB1:AB55" totalsRowShown="0" dataDxfId="91" tableBorderDxfId="90">
  <autoFilter ref="AB1:AB55" xr:uid="{621F64A7-0CA7-4802-A0D9-57D63BBEF7AC}"/>
  <tableColumns count="1">
    <tableColumn id="1" xr3:uid="{6FB5653C-5F75-4229-B4AB-D800BE972C8C}" name="Profesionales" dataDxfId="89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CA9E84-655A-47AC-A652-493261DB7F36}" name="Tabla12" displayName="Tabla12" ref="T9:T10" totalsRowShown="0">
  <autoFilter ref="T9:T10" xr:uid="{15CA9E84-655A-47AC-A652-493261DB7F36}"/>
  <tableColumns count="1">
    <tableColumn id="1" xr3:uid="{7884A676-C8A6-4E93-ABDB-533CE3C8A34A}" name="Traslado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45223DA-FD1C-4D1C-96FE-10E39722BE44}" name="Tabla27" displayName="Tabla27" ref="A1:CA2" totalsRowShown="0" headerRowDxfId="88" dataDxfId="86" headerRowBorderDxfId="87" tableBorderDxfId="85" totalsRowBorderDxfId="84">
  <autoFilter ref="A1:CA2" xr:uid="{245223DA-FD1C-4D1C-96FE-10E39722BE44}"/>
  <tableColumns count="79">
    <tableColumn id="1" xr3:uid="{22D15EBE-9637-4CAA-9F98-56D60ABE0468}" name="Conse" dataDxfId="83"/>
    <tableColumn id="2" xr3:uid="{D2A030F4-8580-4F07-BE4C-E0F619DF6539}" name="Tipo ID" dataDxfId="82"/>
    <tableColumn id="3" xr3:uid="{0755E55B-8710-447E-BAB6-DBBC0482465F}" name="Numero " dataDxfId="81"/>
    <tableColumn id="4" xr3:uid="{5867345F-BC23-4DC9-BCB3-FE429BB6AD78}" name="Responsable" dataDxfId="80"/>
    <tableColumn id="5" xr3:uid="{E3B5F0D0-E831-4387-9C75-540598533693}" name="Fecha de atención" dataDxfId="79"/>
    <tableColumn id="6" xr3:uid="{52055BBE-DEA7-4C1D-B099-7387C0F45769}" name="Riesgo no Pareja" dataDxfId="78"/>
    <tableColumn id="80" xr3:uid="{5943810E-FE3B-4377-B722-CA4DD6F7F3FB}" name="LGBTIQ+" dataDxfId="77"/>
    <tableColumn id="7" xr3:uid="{E3341B44-4786-4CA4-9E16-EBAB7DACDCA3}" name="Avance seguimiento" dataDxfId="76">
      <calculatedColumnFormula>+IF(Seguimiento!$L2="Sí",1,0)+IF(Seguimiento!$W2="Sí",1,0)+IF(Seguimiento!$AH2="Sí",1,0)+IF(Seguimiento!$AS2="Sí",1,0)+IF(Seguimiento!$BD2="Sí",1,0)+IF(Seguimiento!$BO2="Sí",1,0)</calculatedColumnFormula>
    </tableColumn>
    <tableColumn id="8" xr3:uid="{C7903C03-5607-4970-8152-A03235834057}" name="Total seguimientos" dataDxfId="75"/>
    <tableColumn id="9" xr3:uid="{720C924E-6328-43DE-896D-8C201B021184}" name="Alerta pendientes" dataDxfId="74">
      <calculatedColumnFormula>+IF(Tabla27[[#This Row],[Traslado]]="Riesgo","Trasladado a riesgo",IF(Tabla27[[#This Row],[Cierre de caso]]="Sí","Caso Cerrado",IF(AND(TODAY()&gt;Seguimiento!$K2,Seguimiento!$L2=0),"Primer seguimiento pendiente",IF(AND(TODAY()&gt;Seguimiento!$V2,Seguimiento!$W2=0),"Segundo seguimiento pendiente",IF(AND(TODAY()&gt;Seguimiento!$AG2,Seguimiento!$AH2=0),"Tercer seguimiento pendiente",IF(AND(TODAY()&gt;Seguimiento!$AR2,Seguimiento!$AS2=0),"Cuarto seguimiento pendiente",IF(AND(TODAY()&gt;Seguimiento!$BC2,Seguimiento!$BD2=0),"Quinto seguimiento pendiente",IF(AND(TODAY()&gt;Seguimiento!$BN2,Seguimiento!$BO2=0),"Sexto seguimiento pendiente","Seguimientos al día"))))))))</calculatedColumnFormula>
    </tableColumn>
    <tableColumn id="10" xr3:uid="{77C6CEE0-B83C-4520-8CE3-F477714AA3DE}" name="Primer seguimiento" dataDxfId="73">
      <calculatedColumnFormula>+E2+3</calculatedColumnFormula>
    </tableColumn>
    <tableColumn id="11" xr3:uid="{1F04614F-CE2B-468C-9AFF-EE85EC4A3076}" name="¿Se hizo seguimiento?" dataDxfId="72"/>
    <tableColumn id="12" xr3:uid="{3BD496F5-9435-4D1B-A50C-DD076A422E40}" name="Sector" dataDxfId="71"/>
    <tableColumn id="13" xr3:uid="{05CD1FC2-7DE5-40B5-8F89-FE20D8A997C3}" name="La persona fue a la entidad" dataDxfId="70"/>
    <tableColumn id="14" xr3:uid="{060187FB-7C9D-446B-9270-F331CE14CD01}" name="Recibió atención?" dataDxfId="69"/>
    <tableColumn id="15" xr3:uid="{B6D23142-81B4-4CE5-B2AF-C78F8E5EAE34}" name="Sector barreras" dataDxfId="68"/>
    <tableColumn id="16" xr3:uid="{8B8FD23B-DFE2-4641-AA84-9D3B9360C503}" name="Barreras" dataDxfId="67"/>
    <tableColumn id="17" xr3:uid="{CE0F84C5-9934-4732-A030-52E97EAFACD9}" name="Nombre entidad Barreras" dataDxfId="66"/>
    <tableColumn id="18" xr3:uid="{A7890850-347A-4D0E-BE8C-03A51444FAE4}" name="Comentarios" dataDxfId="65"/>
    <tableColumn id="19" xr3:uid="{2DFAF5D4-306C-47D9-A538-42E11C38F8DD}" name="¿Se elaboraron documentos del caso?" dataDxfId="64"/>
    <tableColumn id="20" xr3:uid="{8DD869C4-5EE3-466E-A591-4BA1E0D76629}" name="Persona que hace seguimiento" dataDxfId="63"/>
    <tableColumn id="21" xr3:uid="{6776D077-5259-43BF-BA31-F2B237693A89}" name="Segundo seguimiento" dataDxfId="62">
      <calculatedColumnFormula>+E2+15</calculatedColumnFormula>
    </tableColumn>
    <tableColumn id="22" xr3:uid="{78A0688E-D15C-4ED8-AB44-D30DFEA57705}" name="¿Se hizo seguimiento?3" dataDxfId="61"/>
    <tableColumn id="23" xr3:uid="{DE4704D1-1C76-47DC-82D5-8875C2F6A182}" name="Sector3" dataDxfId="60"/>
    <tableColumn id="24" xr3:uid="{7EB8A9F3-AA52-4135-86E2-DB1677D724CC}" name="La persona fue a la entidad3" dataDxfId="59"/>
    <tableColumn id="25" xr3:uid="{9E83F41C-BA1D-489C-BAB0-A0C2402D3396}" name="Recibió atención?3" dataDxfId="58"/>
    <tableColumn id="26" xr3:uid="{56CBDD07-B632-4EEB-AF91-D2070F6545EB}" name="Sector barreras3" dataDxfId="57"/>
    <tableColumn id="27" xr3:uid="{3D37FB48-6BD0-4E61-A45E-A66F9EE3A8D6}" name="Barreras3" dataDxfId="56"/>
    <tableColumn id="28" xr3:uid="{E27BC5F1-ACAF-49A1-B6EA-4A90BD790E66}" name="Nombre entidad Barreras3" dataDxfId="55"/>
    <tableColumn id="29" xr3:uid="{4F1C042D-9DC8-4DE0-886F-4AEFAF3657E4}" name="Comentarios3" dataDxfId="54"/>
    <tableColumn id="30" xr3:uid="{09D19A31-9671-4A75-AFED-7B93064A3DE4}" name="No" dataDxfId="53"/>
    <tableColumn id="31" xr3:uid="{A34872F0-63B3-4F54-8666-045D35F3D381}" name="Persona que hace seguimiento2" dataDxfId="52"/>
    <tableColumn id="32" xr3:uid="{7B4DC940-B80A-42F5-8ABE-CC3B00552DAD}" name="Tercer seguimiento" dataDxfId="51">
      <calculatedColumnFormula>+E2+30</calculatedColumnFormula>
    </tableColumn>
    <tableColumn id="33" xr3:uid="{EBACD44E-803E-481D-BA76-EDA9AD08A93B}" name="¿Se hizo seguimiento?32" dataDxfId="50"/>
    <tableColumn id="34" xr3:uid="{CABF876E-3B40-48B6-8DBC-CCB52F47D602}" name="Sector33" dataDxfId="49"/>
    <tableColumn id="35" xr3:uid="{4FA4BFA2-DE94-4E16-A658-4547A6D1D1E7}" name="La persona fue a la entidad34" dataDxfId="48"/>
    <tableColumn id="36" xr3:uid="{C07F3334-3E80-4321-9986-6521CDC2C138}" name="Recibió atención?35" dataDxfId="47"/>
    <tableColumn id="37" xr3:uid="{526CF4E3-0840-4A5D-A5BA-ABE04D258DD3}" name="Sector barreras36" dataDxfId="46"/>
    <tableColumn id="38" xr3:uid="{DE6C5925-A02F-4110-95C9-E673B8A8DDC0}" name="Barreras37" dataDxfId="45"/>
    <tableColumn id="39" xr3:uid="{A06DD072-AA78-4F25-905C-F665D0C109D1}" name="Nombre entidad Barreras38" dataDxfId="44"/>
    <tableColumn id="40" xr3:uid="{6EFDEC8F-D4A6-4B53-BB86-81AF1E44FF67}" name="Comentarios39" dataDxfId="43"/>
    <tableColumn id="41" xr3:uid="{6A3F8603-3221-451F-B0CF-18F9B39E6CB8}" name="¿Se elaboraron documentos del caso?3" dataDxfId="42"/>
    <tableColumn id="42" xr3:uid="{F75B18F4-E167-4C38-B290-69FF7586CCC6}" name="Persona que hace seguimiento3" dataDxfId="41"/>
    <tableColumn id="43" xr3:uid="{C2A1AA5E-BA0B-4287-919B-42D1F45B4C3F}" name="Cuarto seguimiento" dataDxfId="40">
      <calculatedColumnFormula>+E2+60</calculatedColumnFormula>
    </tableColumn>
    <tableColumn id="44" xr3:uid="{413B0C0E-54DC-4C1C-BF62-9B4B619B395E}" name="¿Se hizo seguimiento?4" dataDxfId="39"/>
    <tableColumn id="45" xr3:uid="{47FFDB60-B74A-4B79-9EE9-87CEE3442D61}" name="Sector4" dataDxfId="38"/>
    <tableColumn id="46" xr3:uid="{A15E8BEF-C5C6-4A2D-9EC1-5EF5C3B3BD7D}" name="La persona fue a la entidad4" dataDxfId="37"/>
    <tableColumn id="47" xr3:uid="{E3C8D535-7737-4647-829E-AD78CA956C0A}" name="Recibió atención?4" dataDxfId="36"/>
    <tableColumn id="48" xr3:uid="{FC7AED49-E014-43D3-8E30-0CD30630C7EF}" name="Sector barreras4" dataDxfId="35"/>
    <tableColumn id="49" xr3:uid="{9ACF7F12-0FB6-4C33-93FF-802E9690EB93}" name="Barreras4" dataDxfId="34"/>
    <tableColumn id="50" xr3:uid="{92E311F3-1A8B-46DD-B2DE-946144EB57DD}" name="Nombre entidad Barreras4" dataDxfId="33"/>
    <tableColumn id="51" xr3:uid="{FE531DEB-F789-4305-9B7A-9726FA885014}" name="Comentarios4" dataDxfId="32"/>
    <tableColumn id="52" xr3:uid="{6FE5496F-7AA4-47BF-8C11-03C2E29E8C4D}" name="¿Se elaboraron documentos del caso?4" dataDxfId="31"/>
    <tableColumn id="53" xr3:uid="{16298616-D1E3-4BA4-9584-0F13AE329213}" name="Persona que hace seguimiento4" dataDxfId="30"/>
    <tableColumn id="54" xr3:uid="{2DEA36CE-9C02-450B-9013-49477E0A4D42}" name="Quinto seguimiento" dataDxfId="29">
      <calculatedColumnFormula>+E2+90</calculatedColumnFormula>
    </tableColumn>
    <tableColumn id="55" xr3:uid="{2D1624D6-2C5A-44B6-9C3F-032BCD04B605}" name="¿Se hizo seguimiento?5" dataDxfId="28"/>
    <tableColumn id="56" xr3:uid="{E5C91B23-D28D-43A8-AFBA-2A1A73547958}" name="Sector5" dataDxfId="27"/>
    <tableColumn id="57" xr3:uid="{71A4678E-243A-414A-BBEE-5AB9BE25150E}" name="La persona fue a la entidad5" dataDxfId="26"/>
    <tableColumn id="58" xr3:uid="{52EB2C11-ABF9-4B4B-BAD2-59151E68E65C}" name="Recibió atención?5" dataDxfId="25"/>
    <tableColumn id="59" xr3:uid="{079C5159-479B-40E3-911D-D1ABB9B801F2}" name="Sector barreras5" dataDxfId="24"/>
    <tableColumn id="60" xr3:uid="{73C29133-215A-4831-ADCA-BE49A3B58898}" name="Barreras5" dataDxfId="23"/>
    <tableColumn id="61" xr3:uid="{AFCA7B8E-1D08-4C45-A2E8-E2B7359C99F8}" name="Nombre entidad Barreras5" dataDxfId="22"/>
    <tableColumn id="62" xr3:uid="{9BAB2D89-B1AA-424D-923E-A2C40A4F2714}" name="Comentarios5" dataDxfId="21"/>
    <tableColumn id="63" xr3:uid="{924F1F0F-7F9C-49A8-8951-D39354DD194D}" name="¿Se elaboraron documentos del caso?5" dataDxfId="20"/>
    <tableColumn id="64" xr3:uid="{B8CE8316-38F3-4271-B300-9FC22F353A80}" name="Persona que hace seguimiento5" dataDxfId="19"/>
    <tableColumn id="65" xr3:uid="{FF49F042-96A4-4263-BC86-8E31D8A093C9}" name="Sexto seguimiento" dataDxfId="18">
      <calculatedColumnFormula>+E2+180</calculatedColumnFormula>
    </tableColumn>
    <tableColumn id="66" xr3:uid="{2DC38DFB-01B8-4DC0-B42A-195D36FBEBD7}" name="¿Se hizo seguimiento?6" dataDxfId="17"/>
    <tableColumn id="67" xr3:uid="{B08C8BAD-01B1-408F-AE1A-6EDC05D73589}" name="Sector6" dataDxfId="16"/>
    <tableColumn id="68" xr3:uid="{A2B21F0C-ACF6-4222-BDBE-AB4BBD1EBF73}" name="La persona fue a la entidad6" dataDxfId="15"/>
    <tableColumn id="69" xr3:uid="{29252EE1-7AEE-4CD4-AAF2-2396A81D58B4}" name="Recibió atención?6" dataDxfId="14"/>
    <tableColumn id="70" xr3:uid="{A5D37F80-4CF9-42E7-9F85-6E08BE288C88}" name="Sector barreras6" dataDxfId="13"/>
    <tableColumn id="71" xr3:uid="{D5467D30-E4EC-42CF-93F8-CF7CF04167B6}" name="Barreras6" dataDxfId="12"/>
    <tableColumn id="72" xr3:uid="{77AAA6A8-C10B-4746-A2F9-F93538D1B886}" name="Nombre entidad Barreras6" dataDxfId="11"/>
    <tableColumn id="73" xr3:uid="{DEC7FE2A-76EA-4DD6-B3C0-3EBCE70A729C}" name="Comentarios6" dataDxfId="10"/>
    <tableColumn id="74" xr3:uid="{DD960A73-7D05-4838-B66F-73976D611AAF}" name="¿Se elaboraron documentos del caso?6" dataDxfId="9"/>
    <tableColumn id="75" xr3:uid="{DDE9AD4D-94CA-4C9C-BC46-42A49692AA19}" name="Persona que hace seguimiento6" dataDxfId="8"/>
    <tableColumn id="76" xr3:uid="{1BABCBEF-DFAE-474D-A481-C1D35B837793}" name="Observaciones" dataDxfId="7"/>
    <tableColumn id="77" xr3:uid="{94FFDB1D-D517-4D70-9A2E-1F8D9DA370A4}" name="Cierre de caso" dataDxfId="6"/>
    <tableColumn id="78" xr3:uid="{9252BDFE-54A9-431D-B76A-E874E42DAE54}" name="Traslado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068A-7F9D-4B91-BC13-AA8BF12E4BF7}">
  <dimension ref="A1:G28"/>
  <sheetViews>
    <sheetView workbookViewId="0"/>
  </sheetViews>
  <sheetFormatPr baseColWidth="10" defaultColWidth="10.6640625" defaultRowHeight="14.4" x14ac:dyDescent="0.3"/>
  <cols>
    <col min="1" max="1" width="92.88671875" bestFit="1" customWidth="1"/>
    <col min="4" max="4" width="19.5546875" bestFit="1" customWidth="1"/>
  </cols>
  <sheetData>
    <row r="1" spans="1:7" s="13" customFormat="1" ht="18" x14ac:dyDescent="0.3">
      <c r="A1" s="15" t="s">
        <v>0</v>
      </c>
      <c r="B1" s="16">
        <v>3</v>
      </c>
    </row>
    <row r="2" spans="1:7" ht="15.6" x14ac:dyDescent="0.3">
      <c r="A2" s="10" t="s">
        <v>1</v>
      </c>
      <c r="B2" s="28"/>
      <c r="D2" t="s">
        <v>2</v>
      </c>
      <c r="G2" t="s">
        <v>2</v>
      </c>
    </row>
    <row r="3" spans="1:7" ht="15.6" x14ac:dyDescent="0.3">
      <c r="A3" s="10" t="s">
        <v>3</v>
      </c>
      <c r="B3" s="28"/>
      <c r="D3" t="s">
        <v>4</v>
      </c>
      <c r="G3" t="s">
        <v>4</v>
      </c>
    </row>
    <row r="4" spans="1:7" ht="15.6" x14ac:dyDescent="0.3">
      <c r="A4" s="10" t="s">
        <v>5</v>
      </c>
      <c r="B4" s="28"/>
      <c r="D4" t="s">
        <v>6</v>
      </c>
      <c r="G4" t="s">
        <v>6</v>
      </c>
    </row>
    <row r="5" spans="1:7" s="13" customFormat="1" ht="18" x14ac:dyDescent="0.3">
      <c r="A5" s="15" t="s">
        <v>7</v>
      </c>
      <c r="B5" s="16">
        <v>4</v>
      </c>
      <c r="G5" t="s">
        <v>8</v>
      </c>
    </row>
    <row r="6" spans="1:7" ht="15.6" x14ac:dyDescent="0.3">
      <c r="A6" s="10" t="s">
        <v>9</v>
      </c>
      <c r="B6" s="28"/>
      <c r="D6" t="str">
        <f>+CONCATENATE("Protección ",A6)</f>
        <v>Protección Comisaría de Familia </v>
      </c>
      <c r="G6" t="s">
        <v>10</v>
      </c>
    </row>
    <row r="7" spans="1:7" ht="15.6" x14ac:dyDescent="0.3">
      <c r="A7" s="10" t="s">
        <v>11</v>
      </c>
      <c r="B7" s="28"/>
      <c r="D7" t="str">
        <f>+CONCATENATE("Protección ",A7)</f>
        <v>Protección Juzgado de Control de Garantías </v>
      </c>
      <c r="G7" t="s">
        <v>12</v>
      </c>
    </row>
    <row r="8" spans="1:7" ht="15.6" x14ac:dyDescent="0.3">
      <c r="A8" s="10" t="s">
        <v>13</v>
      </c>
      <c r="B8" s="28"/>
      <c r="D8" t="str">
        <f>+CONCATENATE("Protección ",A8)</f>
        <v>Protección Fiscalía General de la Nación </v>
      </c>
      <c r="G8" t="s">
        <v>14</v>
      </c>
    </row>
    <row r="9" spans="1:7" ht="15.6" x14ac:dyDescent="0.3">
      <c r="A9" s="10" t="s">
        <v>15</v>
      </c>
      <c r="B9" s="28"/>
      <c r="D9" t="str">
        <f>+CONCATENATE("Protección ",A9)</f>
        <v>Protección Policía Nacional </v>
      </c>
      <c r="G9" t="s">
        <v>16</v>
      </c>
    </row>
    <row r="10" spans="1:7" ht="15.6" x14ac:dyDescent="0.3">
      <c r="A10" s="14" t="s">
        <v>17</v>
      </c>
      <c r="B10" s="28"/>
      <c r="G10" t="s">
        <v>18</v>
      </c>
    </row>
    <row r="11" spans="1:7" ht="15.6" x14ac:dyDescent="0.3">
      <c r="A11" s="10" t="s">
        <v>19</v>
      </c>
      <c r="B11" s="28"/>
      <c r="D11" t="str">
        <f>+CONCATENATE("Protección ",A11)</f>
        <v>Protección Juzgado Civil Municipal </v>
      </c>
      <c r="G11" t="s">
        <v>20</v>
      </c>
    </row>
    <row r="12" spans="1:7" ht="15.6" x14ac:dyDescent="0.3">
      <c r="A12" s="10" t="s">
        <v>21</v>
      </c>
      <c r="B12" s="28"/>
      <c r="D12" t="str">
        <f>+CONCATENATE("Protección ",A12)</f>
        <v>Protección Juzgado Promiscuo Municipal  </v>
      </c>
      <c r="G12" t="s">
        <v>22</v>
      </c>
    </row>
    <row r="13" spans="1:7" ht="15.6" x14ac:dyDescent="0.3">
      <c r="A13" s="10" t="s">
        <v>23</v>
      </c>
      <c r="B13" s="28"/>
      <c r="D13" t="str">
        <f>+CONCATENATE("Protección ",A13)</f>
        <v>Protección Inspección de Policía </v>
      </c>
      <c r="G13" t="s">
        <v>24</v>
      </c>
    </row>
    <row r="14" spans="1:7" ht="15.6" x14ac:dyDescent="0.3">
      <c r="A14" s="10" t="s">
        <v>25</v>
      </c>
      <c r="B14" s="28"/>
      <c r="D14" t="str">
        <f>+CONCATENATE("Protección ",A14)</f>
        <v>Protección Unidad Nacional de Protección </v>
      </c>
      <c r="G14" t="s">
        <v>26</v>
      </c>
    </row>
    <row r="15" spans="1:7" ht="18" x14ac:dyDescent="0.3">
      <c r="A15" s="15" t="s">
        <v>27</v>
      </c>
      <c r="B15" s="16">
        <v>4</v>
      </c>
      <c r="G15" t="s">
        <v>28</v>
      </c>
    </row>
    <row r="16" spans="1:7" ht="31.2" x14ac:dyDescent="0.3">
      <c r="A16" s="10" t="s">
        <v>29</v>
      </c>
      <c r="B16" s="17"/>
      <c r="D16" t="str">
        <f>+CONCATENATE("Justicia ",A16)</f>
        <v xml:space="preserve">Justicia Recepción de denuncias - Policía Judicial (SIJIN, DIJIN, CTI) Fiscalía General de la Nación / Policía Nacional </v>
      </c>
      <c r="G16" t="s">
        <v>30</v>
      </c>
    </row>
    <row r="17" spans="1:4" ht="15.6" x14ac:dyDescent="0.3">
      <c r="A17" s="10" t="s">
        <v>31</v>
      </c>
      <c r="B17" s="28"/>
      <c r="D17" t="str">
        <f>+CONCATENATE("Justicia ",A17)</f>
        <v>Justicia Fiscalía General de la Nación - Asignado a proceso penal </v>
      </c>
    </row>
    <row r="18" spans="1:4" ht="15.6" x14ac:dyDescent="0.3">
      <c r="A18" s="10" t="s">
        <v>32</v>
      </c>
      <c r="B18" s="28"/>
      <c r="D18" t="str">
        <f>+CONCATENATE("Justicia ",A18)</f>
        <v>Justicia Juzgado Penal con Función de Conocimiento </v>
      </c>
    </row>
    <row r="19" spans="1:4" ht="15.6" x14ac:dyDescent="0.3">
      <c r="A19" s="12" t="s">
        <v>33</v>
      </c>
      <c r="B19" s="28"/>
      <c r="D19" t="str">
        <f>+CONCATENATE("Justicia ",A19)</f>
        <v>Justicia Instituto Nacional de Medicina Legal y Ciencias Forenses – Instituciones de salud autorizadas </v>
      </c>
    </row>
    <row r="20" spans="1:4" ht="18" x14ac:dyDescent="0.3">
      <c r="A20" s="11" t="s">
        <v>34</v>
      </c>
      <c r="B20" s="18">
        <v>1</v>
      </c>
    </row>
    <row r="21" spans="1:4" ht="15.6" x14ac:dyDescent="0.3">
      <c r="A21" s="12" t="s">
        <v>35</v>
      </c>
      <c r="B21" s="28"/>
    </row>
    <row r="22" spans="1:4" ht="18" x14ac:dyDescent="0.3">
      <c r="A22" s="19" t="s">
        <v>36</v>
      </c>
      <c r="B22" s="20">
        <v>5</v>
      </c>
    </row>
    <row r="23" spans="1:4" ht="15.6" x14ac:dyDescent="0.3">
      <c r="A23" s="21" t="s">
        <v>37</v>
      </c>
      <c r="B23" s="22"/>
    </row>
    <row r="24" spans="1:4" ht="15.6" x14ac:dyDescent="0.3">
      <c r="A24" s="21" t="s">
        <v>38</v>
      </c>
      <c r="B24" s="22"/>
    </row>
    <row r="25" spans="1:4" ht="15.6" x14ac:dyDescent="0.3">
      <c r="A25" s="21" t="s">
        <v>39</v>
      </c>
      <c r="B25" s="22"/>
    </row>
    <row r="26" spans="1:4" ht="15.6" x14ac:dyDescent="0.3">
      <c r="A26" s="21" t="s">
        <v>40</v>
      </c>
      <c r="B26" s="22"/>
    </row>
    <row r="27" spans="1:4" ht="15.6" x14ac:dyDescent="0.3">
      <c r="A27" s="21" t="s">
        <v>41</v>
      </c>
      <c r="B27" s="22"/>
    </row>
    <row r="28" spans="1:4" ht="15.6" x14ac:dyDescent="0.3">
      <c r="A2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5883-6796-4EBC-954F-D013A076F34D}">
  <dimension ref="A1:AB55"/>
  <sheetViews>
    <sheetView tabSelected="1" topLeftCell="S1" workbookViewId="0">
      <selection activeCell="T11" sqref="T11"/>
    </sheetView>
  </sheetViews>
  <sheetFormatPr baseColWidth="10" defaultColWidth="10.6640625" defaultRowHeight="14.4" x14ac:dyDescent="0.3"/>
  <cols>
    <col min="1" max="1" width="16.109375" bestFit="1" customWidth="1"/>
    <col min="2" max="2" width="2.6640625" customWidth="1"/>
    <col min="3" max="3" width="14.33203125" bestFit="1" customWidth="1"/>
    <col min="4" max="4" width="4" customWidth="1"/>
    <col min="5" max="5" width="15" customWidth="1"/>
    <col min="7" max="7" width="35.44140625" bestFit="1" customWidth="1"/>
    <col min="10" max="10" width="47.44140625" customWidth="1"/>
    <col min="11" max="11" width="34.33203125" customWidth="1"/>
    <col min="12" max="12" width="30.44140625" customWidth="1"/>
    <col min="13" max="13" width="27" customWidth="1"/>
    <col min="14" max="14" width="38.6640625" customWidth="1"/>
    <col min="15" max="15" width="55.5546875" customWidth="1"/>
    <col min="16" max="16" width="42.5546875" customWidth="1"/>
    <col min="17" max="17" width="29" customWidth="1"/>
    <col min="18" max="18" width="43.88671875" customWidth="1"/>
    <col min="19" max="19" width="40.33203125" customWidth="1"/>
    <col min="20" max="20" width="35.5546875" customWidth="1"/>
    <col min="21" max="21" width="34.33203125" customWidth="1"/>
    <col min="22" max="22" width="34.88671875" customWidth="1"/>
    <col min="25" max="25" width="33.5546875" bestFit="1" customWidth="1"/>
    <col min="28" max="28" width="35.5546875" bestFit="1" customWidth="1"/>
  </cols>
  <sheetData>
    <row r="1" spans="1:28" x14ac:dyDescent="0.3">
      <c r="A1" t="s">
        <v>42</v>
      </c>
      <c r="C1" t="s">
        <v>43</v>
      </c>
      <c r="E1" t="s">
        <v>44</v>
      </c>
      <c r="G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Y1" t="s">
        <v>59</v>
      </c>
      <c r="AB1" t="s">
        <v>60</v>
      </c>
    </row>
    <row r="2" spans="1:28" ht="29.4" thickBot="1" x14ac:dyDescent="0.35">
      <c r="A2" t="s">
        <v>2</v>
      </c>
      <c r="C2" t="s">
        <v>61</v>
      </c>
      <c r="E2" t="s">
        <v>62</v>
      </c>
      <c r="G2" t="s">
        <v>63</v>
      </c>
      <c r="J2" s="3" t="s">
        <v>64</v>
      </c>
      <c r="K2" s="3" t="s">
        <v>65</v>
      </c>
      <c r="L2" s="1" t="s">
        <v>65</v>
      </c>
      <c r="M2" s="7" t="s">
        <v>66</v>
      </c>
      <c r="N2" s="3" t="s">
        <v>65</v>
      </c>
      <c r="O2" s="3" t="s">
        <v>65</v>
      </c>
      <c r="P2" s="3" t="s">
        <v>65</v>
      </c>
      <c r="Q2" s="1" t="s">
        <v>65</v>
      </c>
      <c r="R2" s="3" t="s">
        <v>65</v>
      </c>
      <c r="S2" s="3" t="s">
        <v>67</v>
      </c>
      <c r="T2" s="3" t="s">
        <v>67</v>
      </c>
      <c r="U2" s="8" t="s">
        <v>68</v>
      </c>
      <c r="V2" s="3" t="s">
        <v>65</v>
      </c>
      <c r="Y2" t="s">
        <v>46</v>
      </c>
      <c r="AB2" s="23" t="s">
        <v>69</v>
      </c>
    </row>
    <row r="3" spans="1:28" ht="29.4" thickBot="1" x14ac:dyDescent="0.35">
      <c r="A3" t="s">
        <v>4</v>
      </c>
      <c r="C3" t="s">
        <v>70</v>
      </c>
      <c r="E3" t="s">
        <v>71</v>
      </c>
      <c r="G3" t="s">
        <v>72</v>
      </c>
      <c r="J3" s="4" t="s">
        <v>73</v>
      </c>
      <c r="K3" s="4" t="s">
        <v>74</v>
      </c>
      <c r="L3" s="2" t="s">
        <v>75</v>
      </c>
      <c r="M3" s="6" t="s">
        <v>76</v>
      </c>
      <c r="N3" s="4" t="s">
        <v>77</v>
      </c>
      <c r="O3" s="4" t="s">
        <v>78</v>
      </c>
      <c r="P3" s="4" t="s">
        <v>78</v>
      </c>
      <c r="Q3" s="2" t="s">
        <v>79</v>
      </c>
      <c r="R3" s="4" t="s">
        <v>80</v>
      </c>
      <c r="S3" s="4" t="s">
        <v>81</v>
      </c>
      <c r="T3" s="4" t="s">
        <v>82</v>
      </c>
      <c r="U3" s="5" t="s">
        <v>76</v>
      </c>
      <c r="V3" s="4" t="s">
        <v>83</v>
      </c>
      <c r="Y3" t="s">
        <v>47</v>
      </c>
      <c r="AB3" s="23" t="s">
        <v>84</v>
      </c>
    </row>
    <row r="4" spans="1:28" ht="43.8" thickBot="1" x14ac:dyDescent="0.35">
      <c r="A4" t="s">
        <v>6</v>
      </c>
      <c r="C4" t="s">
        <v>85</v>
      </c>
      <c r="E4" t="s">
        <v>86</v>
      </c>
      <c r="G4" t="s">
        <v>87</v>
      </c>
      <c r="J4" s="4" t="s">
        <v>88</v>
      </c>
      <c r="K4" s="4" t="s">
        <v>89</v>
      </c>
      <c r="L4" s="2" t="s">
        <v>90</v>
      </c>
      <c r="N4" s="4" t="s">
        <v>91</v>
      </c>
      <c r="O4" s="4" t="s">
        <v>92</v>
      </c>
      <c r="P4" s="4" t="s">
        <v>92</v>
      </c>
      <c r="Q4" s="2" t="s">
        <v>90</v>
      </c>
      <c r="R4" s="4" t="s">
        <v>93</v>
      </c>
      <c r="S4" s="4" t="s">
        <v>94</v>
      </c>
      <c r="T4" s="4" t="s">
        <v>95</v>
      </c>
      <c r="V4" s="4" t="s">
        <v>90</v>
      </c>
      <c r="Y4" t="s">
        <v>48</v>
      </c>
      <c r="AB4" s="23" t="s">
        <v>96</v>
      </c>
    </row>
    <row r="5" spans="1:28" ht="29.4" thickBot="1" x14ac:dyDescent="0.35">
      <c r="A5" t="s">
        <v>8</v>
      </c>
      <c r="G5" t="s">
        <v>97</v>
      </c>
      <c r="J5" s="4" t="s">
        <v>98</v>
      </c>
      <c r="K5" s="4" t="s">
        <v>99</v>
      </c>
      <c r="L5" s="6" t="s">
        <v>76</v>
      </c>
      <c r="N5" s="4" t="s">
        <v>90</v>
      </c>
      <c r="O5" s="4" t="s">
        <v>100</v>
      </c>
      <c r="P5" s="4" t="s">
        <v>100</v>
      </c>
      <c r="Q5" s="6" t="s">
        <v>76</v>
      </c>
      <c r="R5" s="4" t="s">
        <v>101</v>
      </c>
      <c r="S5" s="4" t="s">
        <v>90</v>
      </c>
      <c r="T5" s="4" t="s">
        <v>90</v>
      </c>
      <c r="V5" s="5" t="s">
        <v>76</v>
      </c>
      <c r="Y5" t="s">
        <v>49</v>
      </c>
      <c r="AB5" s="23" t="s">
        <v>102</v>
      </c>
    </row>
    <row r="6" spans="1:28" ht="29.4" thickBot="1" x14ac:dyDescent="0.35">
      <c r="A6" t="s">
        <v>10</v>
      </c>
      <c r="G6" t="s">
        <v>103</v>
      </c>
      <c r="J6" s="4" t="s">
        <v>104</v>
      </c>
      <c r="K6" s="4" t="s">
        <v>105</v>
      </c>
      <c r="N6" s="5" t="s">
        <v>76</v>
      </c>
      <c r="O6" s="4" t="s">
        <v>105</v>
      </c>
      <c r="P6" s="4" t="s">
        <v>105</v>
      </c>
      <c r="R6" s="4" t="s">
        <v>90</v>
      </c>
      <c r="S6" s="5" t="s">
        <v>76</v>
      </c>
      <c r="T6" s="5" t="s">
        <v>76</v>
      </c>
      <c r="Y6" t="s">
        <v>50</v>
      </c>
      <c r="AB6" s="23" t="s">
        <v>106</v>
      </c>
    </row>
    <row r="7" spans="1:28" ht="15" thickBot="1" x14ac:dyDescent="0.35">
      <c r="A7" t="s">
        <v>12</v>
      </c>
      <c r="G7" t="s">
        <v>107</v>
      </c>
      <c r="J7" s="4" t="s">
        <v>90</v>
      </c>
      <c r="K7" s="4" t="s">
        <v>108</v>
      </c>
      <c r="O7" s="4" t="s">
        <v>90</v>
      </c>
      <c r="P7" s="4" t="s">
        <v>90</v>
      </c>
      <c r="R7" s="5" t="s">
        <v>76</v>
      </c>
      <c r="Y7" t="s">
        <v>51</v>
      </c>
      <c r="AB7" s="23" t="s">
        <v>109</v>
      </c>
    </row>
    <row r="8" spans="1:28" ht="29.4" thickBot="1" x14ac:dyDescent="0.35">
      <c r="A8" t="s">
        <v>14</v>
      </c>
      <c r="G8" t="s">
        <v>110</v>
      </c>
      <c r="J8" s="5" t="s">
        <v>76</v>
      </c>
      <c r="K8" s="4" t="s">
        <v>90</v>
      </c>
      <c r="O8" s="5" t="s">
        <v>76</v>
      </c>
      <c r="P8" s="5" t="s">
        <v>76</v>
      </c>
      <c r="Y8" t="s">
        <v>52</v>
      </c>
      <c r="AB8" s="23" t="s">
        <v>111</v>
      </c>
    </row>
    <row r="9" spans="1:28" ht="28.8" x14ac:dyDescent="0.3">
      <c r="A9" t="s">
        <v>16</v>
      </c>
      <c r="G9" t="s">
        <v>112</v>
      </c>
      <c r="K9" s="5" t="s">
        <v>76</v>
      </c>
      <c r="T9" t="s">
        <v>113</v>
      </c>
      <c r="Y9" t="s">
        <v>53</v>
      </c>
      <c r="AB9" s="23" t="s">
        <v>114</v>
      </c>
    </row>
    <row r="10" spans="1:28" x14ac:dyDescent="0.3">
      <c r="A10" t="s">
        <v>18</v>
      </c>
      <c r="G10" t="s">
        <v>115</v>
      </c>
      <c r="T10" t="s">
        <v>116</v>
      </c>
      <c r="Y10" t="s">
        <v>54</v>
      </c>
      <c r="AB10" s="23" t="s">
        <v>117</v>
      </c>
    </row>
    <row r="11" spans="1:28" x14ac:dyDescent="0.3">
      <c r="A11" t="s">
        <v>20</v>
      </c>
      <c r="E11" t="s">
        <v>118</v>
      </c>
      <c r="G11" t="s">
        <v>119</v>
      </c>
      <c r="Y11" t="s">
        <v>55</v>
      </c>
      <c r="AB11" s="23" t="s">
        <v>120</v>
      </c>
    </row>
    <row r="12" spans="1:28" x14ac:dyDescent="0.3">
      <c r="A12" t="s">
        <v>22</v>
      </c>
      <c r="E12" t="s">
        <v>121</v>
      </c>
      <c r="Y12" t="s">
        <v>56</v>
      </c>
      <c r="AB12" s="23" t="s">
        <v>122</v>
      </c>
    </row>
    <row r="13" spans="1:28" x14ac:dyDescent="0.3">
      <c r="A13" t="s">
        <v>24</v>
      </c>
      <c r="E13" t="s">
        <v>123</v>
      </c>
      <c r="Y13" t="s">
        <v>57</v>
      </c>
      <c r="AB13" s="23" t="s">
        <v>124</v>
      </c>
    </row>
    <row r="14" spans="1:28" x14ac:dyDescent="0.3">
      <c r="A14" t="s">
        <v>26</v>
      </c>
      <c r="G14" t="s">
        <v>125</v>
      </c>
      <c r="I14" t="s">
        <v>126</v>
      </c>
      <c r="K14" t="s">
        <v>127</v>
      </c>
      <c r="Y14" t="s">
        <v>58</v>
      </c>
      <c r="AB14" s="23" t="s">
        <v>128</v>
      </c>
    </row>
    <row r="15" spans="1:28" x14ac:dyDescent="0.3">
      <c r="A15" t="s">
        <v>28</v>
      </c>
      <c r="E15" t="s">
        <v>129</v>
      </c>
      <c r="G15">
        <v>0</v>
      </c>
      <c r="I15">
        <v>0</v>
      </c>
      <c r="K15">
        <v>0</v>
      </c>
      <c r="Y15" t="s">
        <v>130</v>
      </c>
      <c r="AB15" s="23" t="s">
        <v>131</v>
      </c>
    </row>
    <row r="16" spans="1:28" x14ac:dyDescent="0.3">
      <c r="A16" t="s">
        <v>30</v>
      </c>
      <c r="E16" t="s">
        <v>121</v>
      </c>
      <c r="G16">
        <v>1</v>
      </c>
      <c r="I16">
        <v>2</v>
      </c>
      <c r="K16">
        <v>3</v>
      </c>
      <c r="AB16" s="23" t="s">
        <v>132</v>
      </c>
    </row>
    <row r="17" spans="5:28" x14ac:dyDescent="0.3">
      <c r="E17">
        <v>0</v>
      </c>
      <c r="AB17" s="23" t="s">
        <v>133</v>
      </c>
    </row>
    <row r="18" spans="5:28" x14ac:dyDescent="0.3">
      <c r="AB18" s="23" t="s">
        <v>134</v>
      </c>
    </row>
    <row r="19" spans="5:28" x14ac:dyDescent="0.3">
      <c r="AB19" s="23" t="s">
        <v>135</v>
      </c>
    </row>
    <row r="20" spans="5:28" x14ac:dyDescent="0.3">
      <c r="AB20" s="23" t="s">
        <v>136</v>
      </c>
    </row>
    <row r="21" spans="5:28" x14ac:dyDescent="0.3">
      <c r="AB21" s="23" t="s">
        <v>137</v>
      </c>
    </row>
    <row r="22" spans="5:28" x14ac:dyDescent="0.3">
      <c r="AB22" s="23" t="s">
        <v>138</v>
      </c>
    </row>
    <row r="23" spans="5:28" x14ac:dyDescent="0.3">
      <c r="AB23" s="23" t="s">
        <v>139</v>
      </c>
    </row>
    <row r="24" spans="5:28" x14ac:dyDescent="0.3">
      <c r="AB24" s="23" t="s">
        <v>140</v>
      </c>
    </row>
    <row r="25" spans="5:28" x14ac:dyDescent="0.3">
      <c r="AB25" s="23" t="s">
        <v>141</v>
      </c>
    </row>
    <row r="26" spans="5:28" x14ac:dyDescent="0.3">
      <c r="AB26" s="23" t="s">
        <v>142</v>
      </c>
    </row>
    <row r="27" spans="5:28" x14ac:dyDescent="0.3">
      <c r="AB27" s="23" t="s">
        <v>143</v>
      </c>
    </row>
    <row r="28" spans="5:28" x14ac:dyDescent="0.3">
      <c r="AB28" s="23" t="s">
        <v>144</v>
      </c>
    </row>
    <row r="29" spans="5:28" x14ac:dyDescent="0.3">
      <c r="AB29" s="23" t="s">
        <v>145</v>
      </c>
    </row>
    <row r="30" spans="5:28" x14ac:dyDescent="0.3">
      <c r="AB30" s="23" t="s">
        <v>146</v>
      </c>
    </row>
    <row r="31" spans="5:28" x14ac:dyDescent="0.3">
      <c r="AB31" s="23" t="s">
        <v>147</v>
      </c>
    </row>
    <row r="32" spans="5:28" x14ac:dyDescent="0.3">
      <c r="AB32" s="23" t="s">
        <v>148</v>
      </c>
    </row>
    <row r="33" spans="28:28" x14ac:dyDescent="0.3">
      <c r="AB33" s="23" t="s">
        <v>149</v>
      </c>
    </row>
    <row r="34" spans="28:28" x14ac:dyDescent="0.3">
      <c r="AB34" s="23" t="s">
        <v>150</v>
      </c>
    </row>
    <row r="35" spans="28:28" x14ac:dyDescent="0.3">
      <c r="AB35" s="23" t="s">
        <v>151</v>
      </c>
    </row>
    <row r="36" spans="28:28" x14ac:dyDescent="0.3">
      <c r="AB36" s="23" t="s">
        <v>152</v>
      </c>
    </row>
    <row r="37" spans="28:28" x14ac:dyDescent="0.3">
      <c r="AB37" s="23" t="s">
        <v>153</v>
      </c>
    </row>
    <row r="38" spans="28:28" x14ac:dyDescent="0.3">
      <c r="AB38" s="23" t="s">
        <v>154</v>
      </c>
    </row>
    <row r="39" spans="28:28" x14ac:dyDescent="0.3">
      <c r="AB39" s="23" t="s">
        <v>155</v>
      </c>
    </row>
    <row r="40" spans="28:28" x14ac:dyDescent="0.3">
      <c r="AB40" s="23" t="s">
        <v>156</v>
      </c>
    </row>
    <row r="41" spans="28:28" x14ac:dyDescent="0.3">
      <c r="AB41" s="23" t="s">
        <v>157</v>
      </c>
    </row>
    <row r="42" spans="28:28" x14ac:dyDescent="0.3">
      <c r="AB42" s="23" t="s">
        <v>158</v>
      </c>
    </row>
    <row r="43" spans="28:28" x14ac:dyDescent="0.3">
      <c r="AB43" s="23" t="s">
        <v>159</v>
      </c>
    </row>
    <row r="44" spans="28:28" x14ac:dyDescent="0.3">
      <c r="AB44" s="23" t="s">
        <v>160</v>
      </c>
    </row>
    <row r="45" spans="28:28" x14ac:dyDescent="0.3">
      <c r="AB45" s="23" t="s">
        <v>161</v>
      </c>
    </row>
    <row r="46" spans="28:28" x14ac:dyDescent="0.3">
      <c r="AB46" s="23" t="s">
        <v>162</v>
      </c>
    </row>
    <row r="47" spans="28:28" x14ac:dyDescent="0.3">
      <c r="AB47" s="23" t="s">
        <v>163</v>
      </c>
    </row>
    <row r="48" spans="28:28" x14ac:dyDescent="0.3">
      <c r="AB48" s="23" t="s">
        <v>164</v>
      </c>
    </row>
    <row r="49" spans="28:28" x14ac:dyDescent="0.3">
      <c r="AB49" s="23" t="s">
        <v>165</v>
      </c>
    </row>
    <row r="50" spans="28:28" x14ac:dyDescent="0.3">
      <c r="AB50" s="23" t="s">
        <v>166</v>
      </c>
    </row>
    <row r="51" spans="28:28" x14ac:dyDescent="0.3">
      <c r="AB51" s="23" t="s">
        <v>167</v>
      </c>
    </row>
    <row r="52" spans="28:28" x14ac:dyDescent="0.3">
      <c r="AB52" s="23" t="s">
        <v>168</v>
      </c>
    </row>
    <row r="53" spans="28:28" x14ac:dyDescent="0.3">
      <c r="AB53" s="24" t="s">
        <v>169</v>
      </c>
    </row>
    <row r="54" spans="28:28" x14ac:dyDescent="0.3">
      <c r="AB54" s="24" t="s">
        <v>170</v>
      </c>
    </row>
    <row r="55" spans="28:28" x14ac:dyDescent="0.3">
      <c r="AB55" s="24" t="s">
        <v>171</v>
      </c>
    </row>
  </sheetData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21F8-664E-4452-B0B9-893F3A1C08AD}">
  <dimension ref="A1:CA2200"/>
  <sheetViews>
    <sheetView zoomScale="50" zoomScaleNormal="88" workbookViewId="0"/>
  </sheetViews>
  <sheetFormatPr baseColWidth="10" defaultColWidth="0" defaultRowHeight="15" customHeight="1" zeroHeight="1" x14ac:dyDescent="0.3"/>
  <cols>
    <col min="1" max="1" width="10" style="27" customWidth="1"/>
    <col min="2" max="2" width="13" style="44" customWidth="1"/>
    <col min="3" max="3" width="15" style="26" customWidth="1"/>
    <col min="4" max="4" width="39.33203125" style="26" customWidth="1"/>
    <col min="5" max="5" width="34.5546875" style="26" customWidth="1"/>
    <col min="6" max="6" width="9.44140625" style="26" customWidth="1"/>
    <col min="7" max="7" width="11.44140625" style="26" customWidth="1"/>
    <col min="8" max="8" width="13.33203125" style="55" customWidth="1"/>
    <col min="9" max="9" width="20.6640625" customWidth="1"/>
    <col min="10" max="10" width="19.109375" customWidth="1"/>
    <col min="11" max="11" width="20" style="9" customWidth="1"/>
    <col min="12" max="12" width="15.5546875" style="9" customWidth="1"/>
    <col min="13" max="13" width="20.33203125" style="9" customWidth="1"/>
    <col min="14" max="14" width="14.109375" style="9" customWidth="1"/>
    <col min="15" max="15" width="18.109375" style="9" customWidth="1"/>
    <col min="16" max="16" width="18" style="9" customWidth="1"/>
    <col min="17" max="17" width="22.109375" style="9" customWidth="1"/>
    <col min="18" max="18" width="34.44140625" style="9" customWidth="1"/>
    <col min="19" max="19" width="56.5546875" style="9" customWidth="1"/>
    <col min="20" max="20" width="38" style="9" customWidth="1"/>
    <col min="21" max="21" width="27.5546875" customWidth="1"/>
    <col min="22" max="22" width="29.6640625" style="9" customWidth="1"/>
    <col min="23" max="23" width="12.33203125" style="9" customWidth="1"/>
    <col min="24" max="24" width="34.88671875" style="9" customWidth="1"/>
    <col min="25" max="25" width="25.109375" style="9" customWidth="1"/>
    <col min="26" max="26" width="22.33203125" style="9" customWidth="1"/>
    <col min="27" max="27" width="14.44140625" style="9" customWidth="1"/>
    <col min="28" max="28" width="32.88671875" style="9" customWidth="1"/>
    <col min="29" max="29" width="40.109375" style="48" customWidth="1"/>
    <col min="30" max="30" width="48" style="9" customWidth="1"/>
    <col min="31" max="31" width="39.33203125" style="9" customWidth="1"/>
    <col min="32" max="32" width="25.109375" customWidth="1"/>
    <col min="33" max="33" width="30" style="9" customWidth="1"/>
    <col min="34" max="34" width="25.44140625" style="9" customWidth="1"/>
    <col min="35" max="35" width="34.88671875" style="9" customWidth="1"/>
    <col min="36" max="36" width="25.109375" style="9" customWidth="1"/>
    <col min="37" max="37" width="30.5546875" style="9" customWidth="1"/>
    <col min="38" max="38" width="14.44140625" style="9" customWidth="1"/>
    <col min="39" max="39" width="32.88671875" style="9" customWidth="1"/>
    <col min="40" max="40" width="45" style="49" customWidth="1"/>
    <col min="41" max="41" width="48" style="9" customWidth="1"/>
    <col min="42" max="42" width="39.33203125" style="9" customWidth="1"/>
    <col min="43" max="43" width="25.5546875" customWidth="1"/>
    <col min="44" max="44" width="30" style="9" customWidth="1"/>
    <col min="45" max="45" width="12.33203125" style="9" customWidth="1"/>
    <col min="46" max="46" width="34.88671875" style="9" customWidth="1"/>
    <col min="47" max="47" width="25.109375" style="9" customWidth="1"/>
    <col min="48" max="48" width="22.33203125" style="9" customWidth="1"/>
    <col min="49" max="49" width="15.109375" style="9" bestFit="1" customWidth="1"/>
    <col min="50" max="50" width="32.88671875" style="9" customWidth="1"/>
    <col min="51" max="51" width="50.109375" style="49" customWidth="1"/>
    <col min="52" max="52" width="48" style="52" customWidth="1"/>
    <col min="53" max="53" width="39.33203125" style="9" customWidth="1"/>
    <col min="54" max="54" width="25.33203125" customWidth="1"/>
    <col min="55" max="55" width="30" style="9" customWidth="1"/>
    <col min="56" max="56" width="12.33203125" style="9" customWidth="1"/>
    <col min="57" max="57" width="34.88671875" style="9" customWidth="1"/>
    <col min="58" max="58" width="25.109375" style="9" customWidth="1"/>
    <col min="59" max="59" width="22.33203125" style="9" customWidth="1"/>
    <col min="60" max="60" width="14.44140625" style="9" customWidth="1"/>
    <col min="61" max="61" width="32.88671875" style="9" customWidth="1"/>
    <col min="62" max="62" width="25.88671875" style="49" customWidth="1"/>
    <col min="63" max="63" width="48" style="9" customWidth="1"/>
    <col min="64" max="64" width="39.33203125" style="9" customWidth="1"/>
    <col min="65" max="65" width="24.33203125" customWidth="1"/>
    <col min="66" max="66" width="30" style="9" customWidth="1"/>
    <col min="67" max="67" width="12.33203125" style="9" customWidth="1"/>
    <col min="68" max="68" width="34.88671875" style="9" customWidth="1"/>
    <col min="69" max="69" width="25.109375" style="9" customWidth="1"/>
    <col min="70" max="70" width="22.33203125" style="9" customWidth="1"/>
    <col min="71" max="71" width="14.44140625" style="9" customWidth="1"/>
    <col min="72" max="72" width="32.88671875" style="9" customWidth="1"/>
    <col min="73" max="73" width="25.88671875" style="9" customWidth="1"/>
    <col min="74" max="74" width="48" style="9" customWidth="1"/>
    <col min="75" max="75" width="39.33203125" style="9" customWidth="1"/>
    <col min="76" max="76" width="20.33203125" customWidth="1"/>
    <col min="77" max="77" width="19.6640625" customWidth="1"/>
    <col min="78" max="78" width="13.33203125" customWidth="1"/>
    <col min="79" max="79" width="19.44140625" customWidth="1"/>
    <col min="80" max="80" width="9.109375" customWidth="1"/>
  </cols>
  <sheetData>
    <row r="1" spans="1:79" s="25" customFormat="1" ht="43.2" x14ac:dyDescent="0.3">
      <c r="A1" s="40" t="s">
        <v>172</v>
      </c>
      <c r="B1" s="37" t="s">
        <v>173</v>
      </c>
      <c r="C1" s="38" t="s">
        <v>174</v>
      </c>
      <c r="D1" s="38" t="s">
        <v>175</v>
      </c>
      <c r="E1" s="38" t="s">
        <v>176</v>
      </c>
      <c r="F1" s="37" t="s">
        <v>177</v>
      </c>
      <c r="G1" s="37" t="s">
        <v>178</v>
      </c>
      <c r="H1" s="53" t="s">
        <v>179</v>
      </c>
      <c r="I1" s="45" t="s">
        <v>180</v>
      </c>
      <c r="J1" s="40" t="s">
        <v>181</v>
      </c>
      <c r="K1" s="38" t="s">
        <v>182</v>
      </c>
      <c r="L1" s="37" t="s">
        <v>183</v>
      </c>
      <c r="M1" s="38" t="s">
        <v>42</v>
      </c>
      <c r="N1" s="37" t="s">
        <v>184</v>
      </c>
      <c r="O1" s="38" t="s">
        <v>185</v>
      </c>
      <c r="P1" s="38" t="s">
        <v>186</v>
      </c>
      <c r="Q1" s="38" t="s">
        <v>187</v>
      </c>
      <c r="R1" s="37" t="s">
        <v>188</v>
      </c>
      <c r="S1" s="38" t="s">
        <v>189</v>
      </c>
      <c r="T1" s="37" t="s">
        <v>190</v>
      </c>
      <c r="U1" s="37" t="s">
        <v>191</v>
      </c>
      <c r="V1" s="38" t="s">
        <v>192</v>
      </c>
      <c r="W1" s="37" t="s">
        <v>193</v>
      </c>
      <c r="X1" s="38" t="s">
        <v>194</v>
      </c>
      <c r="Y1" s="37" t="s">
        <v>195</v>
      </c>
      <c r="Z1" s="39" t="s">
        <v>196</v>
      </c>
      <c r="AA1" s="38" t="s">
        <v>197</v>
      </c>
      <c r="AB1" s="38" t="s">
        <v>198</v>
      </c>
      <c r="AC1" s="38" t="s">
        <v>199</v>
      </c>
      <c r="AD1" s="47" t="s">
        <v>200</v>
      </c>
      <c r="AE1" s="37" t="s">
        <v>123</v>
      </c>
      <c r="AF1" s="38" t="s">
        <v>201</v>
      </c>
      <c r="AG1" s="38" t="s">
        <v>202</v>
      </c>
      <c r="AH1" s="38" t="s">
        <v>203</v>
      </c>
      <c r="AI1" s="38" t="s">
        <v>204</v>
      </c>
      <c r="AJ1" s="38" t="s">
        <v>205</v>
      </c>
      <c r="AK1" s="38" t="s">
        <v>206</v>
      </c>
      <c r="AL1" s="38" t="s">
        <v>207</v>
      </c>
      <c r="AM1" s="38" t="s">
        <v>208</v>
      </c>
      <c r="AN1" s="38" t="s">
        <v>209</v>
      </c>
      <c r="AO1" s="38" t="s">
        <v>210</v>
      </c>
      <c r="AP1" s="38" t="s">
        <v>211</v>
      </c>
      <c r="AQ1" s="38" t="s">
        <v>212</v>
      </c>
      <c r="AR1" s="38" t="s">
        <v>213</v>
      </c>
      <c r="AS1" s="38" t="s">
        <v>214</v>
      </c>
      <c r="AT1" s="38" t="s">
        <v>215</v>
      </c>
      <c r="AU1" s="37" t="s">
        <v>216</v>
      </c>
      <c r="AV1" s="38" t="s">
        <v>217</v>
      </c>
      <c r="AW1" s="38" t="s">
        <v>218</v>
      </c>
      <c r="AX1" s="38" t="s">
        <v>219</v>
      </c>
      <c r="AY1" s="38" t="s">
        <v>220</v>
      </c>
      <c r="AZ1" s="38" t="s">
        <v>221</v>
      </c>
      <c r="BA1" s="51" t="s">
        <v>222</v>
      </c>
      <c r="BB1" s="38" t="s">
        <v>223</v>
      </c>
      <c r="BC1" s="38" t="s">
        <v>224</v>
      </c>
      <c r="BD1" s="38" t="s">
        <v>225</v>
      </c>
      <c r="BE1" s="38" t="s">
        <v>226</v>
      </c>
      <c r="BF1" s="37" t="s">
        <v>227</v>
      </c>
      <c r="BG1" s="38" t="s">
        <v>228</v>
      </c>
      <c r="BH1" s="38" t="s">
        <v>229</v>
      </c>
      <c r="BI1" s="38" t="s">
        <v>230</v>
      </c>
      <c r="BJ1" s="38" t="s">
        <v>231</v>
      </c>
      <c r="BK1" s="38" t="s">
        <v>232</v>
      </c>
      <c r="BL1" s="37" t="s">
        <v>233</v>
      </c>
      <c r="BM1" s="38" t="s">
        <v>234</v>
      </c>
      <c r="BN1" s="38" t="s">
        <v>235</v>
      </c>
      <c r="BO1" s="38" t="s">
        <v>236</v>
      </c>
      <c r="BP1" s="38" t="s">
        <v>237</v>
      </c>
      <c r="BQ1" s="37" t="s">
        <v>238</v>
      </c>
      <c r="BR1" s="38" t="s">
        <v>239</v>
      </c>
      <c r="BS1" s="38" t="s">
        <v>240</v>
      </c>
      <c r="BT1" s="38" t="s">
        <v>241</v>
      </c>
      <c r="BU1" s="38" t="s">
        <v>242</v>
      </c>
      <c r="BV1" s="38" t="s">
        <v>243</v>
      </c>
      <c r="BW1" s="37" t="s">
        <v>244</v>
      </c>
      <c r="BX1" s="38" t="s">
        <v>245</v>
      </c>
      <c r="BY1" s="38" t="s">
        <v>246</v>
      </c>
      <c r="BZ1" s="38" t="s">
        <v>247</v>
      </c>
      <c r="CA1" s="38" t="s">
        <v>113</v>
      </c>
    </row>
    <row r="2" spans="1:79" ht="129.6" x14ac:dyDescent="0.3">
      <c r="A2" s="50">
        <v>1</v>
      </c>
      <c r="B2" s="43" t="s">
        <v>112</v>
      </c>
      <c r="C2" s="29">
        <v>1234456</v>
      </c>
      <c r="D2" s="29" t="s">
        <v>102</v>
      </c>
      <c r="E2" s="33">
        <v>45603.429861111108</v>
      </c>
      <c r="F2" s="29">
        <v>0</v>
      </c>
      <c r="G2" s="29">
        <v>0</v>
      </c>
      <c r="H2" s="54">
        <f>+IF(Seguimiento!$L2="Sí",1,0)+IF(Seguimiento!$W2="Sí",1,0)+IF(Seguimiento!$AH2="Sí",1,0)+IF(Seguimiento!$AS2="Sí",1,0)+IF(Seguimiento!$BD2="Sí",1,0)+IF(Seguimiento!$BO2="Sí",1,0)</f>
        <v>5</v>
      </c>
      <c r="I2" s="42">
        <v>5</v>
      </c>
      <c r="J2" s="41" t="str">
        <f ca="1">+IF(Tabla27[[#This Row],[Traslado]]="Riesgo","Trasladado a riesgo",IF(Tabla27[[#This Row],[Cierre de caso]]="Sí","Caso Cerrado",IF(AND(TODAY()&gt;Seguimiento!$K2,Seguimiento!$L2=0),"Primer seguimiento pendiente",IF(AND(TODAY()&gt;Seguimiento!$V2,Seguimiento!$W2=0),"Segundo seguimiento pendiente",IF(AND(TODAY()&gt;Seguimiento!$AG2,Seguimiento!$AH2=0),"Tercer seguimiento pendiente",IF(AND(TODAY()&gt;Seguimiento!$AR2,Seguimiento!$AS2=0),"Cuarto seguimiento pendiente",IF(AND(TODAY()&gt;Seguimiento!$BC2,Seguimiento!$BD2=0),"Quinto seguimiento pendiente",IF(AND(TODAY()&gt;Seguimiento!$BN2,Seguimiento!$BO2=0),"Sexto seguimiento pendiente","Seguimientos al día"))))))))</f>
        <v>Seguimientos al día</v>
      </c>
      <c r="K2" s="34">
        <f t="shared" ref="K2" si="0">+E2+3</f>
        <v>45606.429861111108</v>
      </c>
      <c r="L2" s="35" t="s">
        <v>121</v>
      </c>
      <c r="M2" s="35" t="s">
        <v>8</v>
      </c>
      <c r="N2" s="35" t="s">
        <v>123</v>
      </c>
      <c r="O2" s="35" t="s">
        <v>123</v>
      </c>
      <c r="P2" s="35" t="s">
        <v>55</v>
      </c>
      <c r="Q2" s="35"/>
      <c r="R2" s="35"/>
      <c r="S2" s="35" t="s">
        <v>248</v>
      </c>
      <c r="T2" s="32" t="s">
        <v>123</v>
      </c>
      <c r="U2" s="32" t="s">
        <v>120</v>
      </c>
      <c r="V2" s="33">
        <f t="shared" ref="V2" si="1">+E2+15</f>
        <v>45618.429861111108</v>
      </c>
      <c r="W2" s="29" t="s">
        <v>121</v>
      </c>
      <c r="X2" s="29" t="s">
        <v>8</v>
      </c>
      <c r="Y2" s="29" t="s">
        <v>123</v>
      </c>
      <c r="Z2" s="29" t="s">
        <v>123</v>
      </c>
      <c r="AA2" s="29" t="s">
        <v>130</v>
      </c>
      <c r="AB2" s="29"/>
      <c r="AC2" s="29"/>
      <c r="AD2" s="36" t="s">
        <v>249</v>
      </c>
      <c r="AE2" s="36" t="s">
        <v>123</v>
      </c>
      <c r="AF2" s="46" t="s">
        <v>120</v>
      </c>
      <c r="AG2" s="30">
        <f t="shared" ref="AG2" si="2">+E2+30</f>
        <v>45633.429861111108</v>
      </c>
      <c r="AH2" s="32" t="s">
        <v>121</v>
      </c>
      <c r="AI2" s="32"/>
      <c r="AJ2" s="32"/>
      <c r="AK2" s="32"/>
      <c r="AL2" s="32"/>
      <c r="AM2" s="32"/>
      <c r="AN2" s="32"/>
      <c r="AO2" s="32" t="s">
        <v>250</v>
      </c>
      <c r="AP2" s="32" t="s">
        <v>123</v>
      </c>
      <c r="AQ2" s="32" t="s">
        <v>102</v>
      </c>
      <c r="AR2" s="33">
        <f t="shared" ref="AR2" si="3">+E2+60</f>
        <v>45663.429861111108</v>
      </c>
      <c r="AS2" s="29" t="s">
        <v>121</v>
      </c>
      <c r="AT2" s="29"/>
      <c r="AU2" s="29"/>
      <c r="AV2" s="29"/>
      <c r="AW2" s="29"/>
      <c r="AX2" s="29"/>
      <c r="AY2" s="29"/>
      <c r="AZ2" s="31" t="s">
        <v>251</v>
      </c>
      <c r="BA2" s="29" t="s">
        <v>123</v>
      </c>
      <c r="BB2" s="29" t="s">
        <v>102</v>
      </c>
      <c r="BC2" s="30">
        <f t="shared" ref="BC2" si="4">+E2+90</f>
        <v>45693.429861111108</v>
      </c>
      <c r="BD2" s="32" t="s">
        <v>121</v>
      </c>
      <c r="BE2" s="32"/>
      <c r="BF2" s="32"/>
      <c r="BG2" s="32"/>
      <c r="BH2" s="32"/>
      <c r="BI2" s="32"/>
      <c r="BJ2" s="32"/>
      <c r="BK2" s="32"/>
      <c r="BL2" s="32"/>
      <c r="BM2" s="32"/>
      <c r="BN2" s="33">
        <f t="shared" ref="BN2" si="5">+E2+180</f>
        <v>45783.429861111108</v>
      </c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</row>
    <row r="3" spans="1:79" ht="15" customHeight="1" x14ac:dyDescent="0.3"/>
    <row r="4" spans="1:79" ht="15" customHeight="1" x14ac:dyDescent="0.3"/>
    <row r="5" spans="1:79" ht="15" customHeight="1" x14ac:dyDescent="0.3"/>
    <row r="6" spans="1:79" ht="15" customHeight="1" x14ac:dyDescent="0.3"/>
    <row r="7" spans="1:79" ht="15" customHeight="1" x14ac:dyDescent="0.3"/>
    <row r="8" spans="1:79" ht="15" customHeight="1" x14ac:dyDescent="0.3"/>
    <row r="9" spans="1:79" ht="15" customHeight="1" x14ac:dyDescent="0.3"/>
    <row r="10" spans="1:79" ht="15" customHeight="1" x14ac:dyDescent="0.3"/>
    <row r="11" spans="1:79" ht="15" customHeight="1" x14ac:dyDescent="0.3"/>
    <row r="12" spans="1:79" ht="15" customHeight="1" x14ac:dyDescent="0.3"/>
    <row r="13" spans="1:79" ht="15" customHeight="1" x14ac:dyDescent="0.3"/>
    <row r="14" spans="1:79" ht="15" customHeight="1" x14ac:dyDescent="0.3"/>
    <row r="15" spans="1:79" ht="15" customHeight="1" x14ac:dyDescent="0.3"/>
    <row r="16" spans="1:79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4" ht="15" customHeight="1" x14ac:dyDescent="0.3"/>
    <row r="1015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6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5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ht="15" customHeight="1" x14ac:dyDescent="0.3"/>
    <row r="1090" ht="15" customHeight="1" x14ac:dyDescent="0.3"/>
    <row r="1091" ht="15" customHeight="1" x14ac:dyDescent="0.3"/>
    <row r="1092" ht="15" customHeight="1" x14ac:dyDescent="0.3"/>
    <row r="1093" ht="15" customHeight="1" x14ac:dyDescent="0.3"/>
    <row r="1094" ht="15" customHeight="1" x14ac:dyDescent="0.3"/>
    <row r="1095" ht="15" customHeight="1" x14ac:dyDescent="0.3"/>
    <row r="1096" ht="15" customHeight="1" x14ac:dyDescent="0.3"/>
    <row r="1097" ht="15" customHeight="1" x14ac:dyDescent="0.3"/>
    <row r="1098" ht="15" customHeight="1" x14ac:dyDescent="0.3"/>
    <row r="1099" ht="15" customHeight="1" x14ac:dyDescent="0.3"/>
    <row r="1100" ht="15" customHeight="1" x14ac:dyDescent="0.3"/>
    <row r="1101" ht="15" customHeight="1" x14ac:dyDescent="0.3"/>
    <row r="1102" ht="15" customHeight="1" x14ac:dyDescent="0.3"/>
    <row r="1103" ht="15" customHeight="1" x14ac:dyDescent="0.3"/>
    <row r="1104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12" ht="15" customHeight="1" x14ac:dyDescent="0.3"/>
    <row r="1113" ht="15" customHeight="1" x14ac:dyDescent="0.3"/>
    <row r="1114" ht="15" customHeight="1" x14ac:dyDescent="0.3"/>
    <row r="1115" ht="15" customHeight="1" x14ac:dyDescent="0.3"/>
    <row r="1116" ht="15" customHeight="1" x14ac:dyDescent="0.3"/>
    <row r="1117" ht="15" customHeight="1" x14ac:dyDescent="0.3"/>
    <row r="1118" ht="15" customHeight="1" x14ac:dyDescent="0.3"/>
    <row r="1119" ht="15" customHeight="1" x14ac:dyDescent="0.3"/>
    <row r="1120" ht="15" customHeight="1" x14ac:dyDescent="0.3"/>
    <row r="1121" ht="15" customHeight="1" x14ac:dyDescent="0.3"/>
    <row r="1122" ht="15" customHeight="1" x14ac:dyDescent="0.3"/>
    <row r="1123" ht="15" customHeight="1" x14ac:dyDescent="0.3"/>
    <row r="1124" ht="15" customHeight="1" x14ac:dyDescent="0.3"/>
    <row r="1125" ht="15" customHeight="1" x14ac:dyDescent="0.3"/>
    <row r="1126" ht="15" customHeight="1" x14ac:dyDescent="0.3"/>
    <row r="1127" ht="15" customHeight="1" x14ac:dyDescent="0.3"/>
    <row r="1128" ht="15" customHeight="1" x14ac:dyDescent="0.3"/>
    <row r="1129" ht="15" customHeight="1" x14ac:dyDescent="0.3"/>
    <row r="1130" ht="15" customHeight="1" x14ac:dyDescent="0.3"/>
    <row r="1131" ht="15" customHeight="1" x14ac:dyDescent="0.3"/>
    <row r="1132" ht="15" customHeight="1" x14ac:dyDescent="0.3"/>
    <row r="1133" ht="15" customHeight="1" x14ac:dyDescent="0.3"/>
    <row r="1134" ht="15" customHeight="1" x14ac:dyDescent="0.3"/>
    <row r="1135" ht="15" customHeight="1" x14ac:dyDescent="0.3"/>
    <row r="1136" ht="15" customHeight="1" x14ac:dyDescent="0.3"/>
    <row r="1137" ht="15" customHeight="1" x14ac:dyDescent="0.3"/>
    <row r="1138" ht="15" customHeight="1" x14ac:dyDescent="0.3"/>
    <row r="1139" ht="15" customHeight="1" x14ac:dyDescent="0.3"/>
    <row r="1140" ht="15" customHeight="1" x14ac:dyDescent="0.3"/>
    <row r="1141" ht="15" customHeight="1" x14ac:dyDescent="0.3"/>
    <row r="1142" ht="15" customHeight="1" x14ac:dyDescent="0.3"/>
    <row r="1143" ht="15" customHeight="1" x14ac:dyDescent="0.3"/>
    <row r="1144" ht="15" customHeight="1" x14ac:dyDescent="0.3"/>
    <row r="1145" ht="15" customHeight="1" x14ac:dyDescent="0.3"/>
    <row r="1146" ht="15" customHeight="1" x14ac:dyDescent="0.3"/>
    <row r="1147" ht="15" customHeight="1" x14ac:dyDescent="0.3"/>
    <row r="1148" ht="15" customHeight="1" x14ac:dyDescent="0.3"/>
    <row r="1149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69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3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0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  <row r="1225" ht="15" customHeight="1" x14ac:dyDescent="0.3"/>
    <row r="1226" ht="15" customHeight="1" x14ac:dyDescent="0.3"/>
    <row r="1227" ht="15" customHeight="1" x14ac:dyDescent="0.3"/>
    <row r="1228" ht="15" customHeight="1" x14ac:dyDescent="0.3"/>
    <row r="1229" ht="15" customHeight="1" x14ac:dyDescent="0.3"/>
    <row r="1230" ht="15" customHeight="1" x14ac:dyDescent="0.3"/>
    <row r="1231" ht="15" customHeight="1" x14ac:dyDescent="0.3"/>
    <row r="1232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238" ht="15" customHeight="1" x14ac:dyDescent="0.3"/>
    <row r="1239" ht="15" customHeight="1" x14ac:dyDescent="0.3"/>
    <row r="1240" ht="15" customHeight="1" x14ac:dyDescent="0.3"/>
    <row r="1241" ht="15" customHeight="1" x14ac:dyDescent="0.3"/>
    <row r="1242" ht="15" customHeight="1" x14ac:dyDescent="0.3"/>
    <row r="1243" ht="15" customHeight="1" x14ac:dyDescent="0.3"/>
    <row r="1244" ht="15" customHeight="1" x14ac:dyDescent="0.3"/>
    <row r="1245" ht="15" customHeight="1" x14ac:dyDescent="0.3"/>
    <row r="1246" ht="15" customHeight="1" x14ac:dyDescent="0.3"/>
    <row r="1247" ht="15" customHeight="1" x14ac:dyDescent="0.3"/>
    <row r="1248" ht="15" customHeight="1" x14ac:dyDescent="0.3"/>
    <row r="1249" ht="15" customHeight="1" x14ac:dyDescent="0.3"/>
    <row r="1250" ht="15" customHeight="1" x14ac:dyDescent="0.3"/>
    <row r="1251" ht="15" customHeight="1" x14ac:dyDescent="0.3"/>
    <row r="1252" ht="15" customHeight="1" x14ac:dyDescent="0.3"/>
    <row r="1253" ht="15" customHeight="1" x14ac:dyDescent="0.3"/>
    <row r="1254" ht="15" customHeight="1" x14ac:dyDescent="0.3"/>
    <row r="1255" ht="15" customHeight="1" x14ac:dyDescent="0.3"/>
    <row r="1256" ht="15" customHeight="1" x14ac:dyDescent="0.3"/>
    <row r="1257" ht="15" customHeight="1" x14ac:dyDescent="0.3"/>
    <row r="1258" ht="15" customHeight="1" x14ac:dyDescent="0.3"/>
    <row r="1259" ht="15" customHeight="1" x14ac:dyDescent="0.3"/>
    <row r="1260" ht="15" customHeight="1" x14ac:dyDescent="0.3"/>
    <row r="1261" ht="15" customHeight="1" x14ac:dyDescent="0.3"/>
    <row r="1262" ht="15" customHeight="1" x14ac:dyDescent="0.3"/>
    <row r="1263" ht="15" customHeight="1" x14ac:dyDescent="0.3"/>
    <row r="1264" ht="15" customHeight="1" x14ac:dyDescent="0.3"/>
    <row r="1265" ht="15" customHeight="1" x14ac:dyDescent="0.3"/>
    <row r="1266" ht="15" customHeight="1" x14ac:dyDescent="0.3"/>
    <row r="1267" ht="15" customHeight="1" x14ac:dyDescent="0.3"/>
    <row r="1268" ht="15" customHeight="1" x14ac:dyDescent="0.3"/>
    <row r="1269" ht="15" customHeight="1" x14ac:dyDescent="0.3"/>
    <row r="1270" ht="15" customHeight="1" x14ac:dyDescent="0.3"/>
    <row r="1271" ht="15" customHeight="1" x14ac:dyDescent="0.3"/>
    <row r="1272" ht="15" customHeight="1" x14ac:dyDescent="0.3"/>
    <row r="1273" ht="15" customHeight="1" x14ac:dyDescent="0.3"/>
    <row r="1274" ht="15" customHeight="1" x14ac:dyDescent="0.3"/>
    <row r="1275" ht="15" customHeight="1" x14ac:dyDescent="0.3"/>
    <row r="1276" ht="15" customHeight="1" x14ac:dyDescent="0.3"/>
    <row r="1277" ht="15" customHeight="1" x14ac:dyDescent="0.3"/>
    <row r="1278" ht="15" customHeight="1" x14ac:dyDescent="0.3"/>
    <row r="1279" ht="15" customHeight="1" x14ac:dyDescent="0.3"/>
    <row r="1280" ht="15" customHeight="1" x14ac:dyDescent="0.3"/>
    <row r="1281" ht="15" customHeight="1" x14ac:dyDescent="0.3"/>
    <row r="1282" ht="15" customHeight="1" x14ac:dyDescent="0.3"/>
    <row r="1283" ht="15" customHeight="1" x14ac:dyDescent="0.3"/>
    <row r="1284" ht="15" customHeight="1" x14ac:dyDescent="0.3"/>
    <row r="1285" ht="15" customHeight="1" x14ac:dyDescent="0.3"/>
    <row r="1286" ht="15" customHeight="1" x14ac:dyDescent="0.3"/>
    <row r="1287" ht="15" customHeight="1" x14ac:dyDescent="0.3"/>
    <row r="1288" ht="15" customHeight="1" x14ac:dyDescent="0.3"/>
    <row r="1289" ht="15" customHeight="1" x14ac:dyDescent="0.3"/>
    <row r="1290" ht="15" customHeight="1" x14ac:dyDescent="0.3"/>
    <row r="1291" ht="15" customHeight="1" x14ac:dyDescent="0.3"/>
    <row r="1292" ht="15" customHeight="1" x14ac:dyDescent="0.3"/>
    <row r="1293" ht="15" customHeight="1" x14ac:dyDescent="0.3"/>
    <row r="1294" ht="15" customHeight="1" x14ac:dyDescent="0.3"/>
    <row r="1295" ht="15" customHeight="1" x14ac:dyDescent="0.3"/>
    <row r="1296" ht="15" customHeight="1" x14ac:dyDescent="0.3"/>
    <row r="1297" ht="15" customHeight="1" x14ac:dyDescent="0.3"/>
    <row r="1298" ht="15" customHeight="1" x14ac:dyDescent="0.3"/>
    <row r="1299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6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6" ht="15" customHeight="1" x14ac:dyDescent="0.3"/>
    <row r="1327" ht="15" customHeight="1" x14ac:dyDescent="0.3"/>
    <row r="1328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39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49" ht="15" customHeight="1" x14ac:dyDescent="0.3"/>
    <row r="1350" ht="15" customHeight="1" x14ac:dyDescent="0.3"/>
    <row r="1351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0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4" ht="15" customHeight="1" x14ac:dyDescent="0.3"/>
    <row r="1375" ht="15" customHeight="1" x14ac:dyDescent="0.3"/>
    <row r="1376" ht="15" customHeight="1" x14ac:dyDescent="0.3"/>
    <row r="1377" ht="15" customHeight="1" x14ac:dyDescent="0.3"/>
    <row r="1378" ht="15" customHeight="1" x14ac:dyDescent="0.3"/>
    <row r="1379" ht="15" customHeight="1" x14ac:dyDescent="0.3"/>
    <row r="1380" ht="15" customHeight="1" x14ac:dyDescent="0.3"/>
    <row r="1381" ht="15" customHeight="1" x14ac:dyDescent="0.3"/>
    <row r="1382" ht="15" customHeight="1" x14ac:dyDescent="0.3"/>
    <row r="1383" ht="15" customHeight="1" x14ac:dyDescent="0.3"/>
    <row r="1384" ht="15" customHeight="1" x14ac:dyDescent="0.3"/>
    <row r="1385" ht="15" customHeight="1" x14ac:dyDescent="0.3"/>
    <row r="1386" ht="15" customHeight="1" x14ac:dyDescent="0.3"/>
    <row r="1387" ht="15" customHeight="1" x14ac:dyDescent="0.3"/>
    <row r="1388" ht="15" customHeight="1" x14ac:dyDescent="0.3"/>
    <row r="1389" ht="15" customHeight="1" x14ac:dyDescent="0.3"/>
    <row r="1390" ht="15" customHeight="1" x14ac:dyDescent="0.3"/>
    <row r="1391" ht="15" customHeight="1" x14ac:dyDescent="0.3"/>
    <row r="1392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11" ht="15" customHeight="1" x14ac:dyDescent="0.3"/>
    <row r="1412" ht="15" customHeight="1" x14ac:dyDescent="0.3"/>
    <row r="1413" ht="15" customHeight="1" x14ac:dyDescent="0.3"/>
    <row r="1414" ht="15" customHeight="1" x14ac:dyDescent="0.3"/>
    <row r="1415" ht="15" customHeight="1" x14ac:dyDescent="0.3"/>
    <row r="1416" ht="15" customHeight="1" x14ac:dyDescent="0.3"/>
    <row r="1417" ht="15" customHeight="1" x14ac:dyDescent="0.3"/>
    <row r="1418" ht="15" customHeight="1" x14ac:dyDescent="0.3"/>
    <row r="1419" ht="15" customHeight="1" x14ac:dyDescent="0.3"/>
    <row r="1420" ht="15" customHeight="1" x14ac:dyDescent="0.3"/>
    <row r="1421" ht="15" customHeight="1" x14ac:dyDescent="0.3"/>
    <row r="1422" ht="15" customHeight="1" x14ac:dyDescent="0.3"/>
    <row r="1423" ht="15" customHeight="1" x14ac:dyDescent="0.3"/>
    <row r="1424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0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6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8" ht="15" customHeight="1" x14ac:dyDescent="0.3"/>
    <row r="1489" ht="15" customHeight="1" x14ac:dyDescent="0.3"/>
    <row r="1490" ht="15" customHeight="1" x14ac:dyDescent="0.3"/>
    <row r="1491" ht="15" customHeight="1" x14ac:dyDescent="0.3"/>
    <row r="1492" ht="15" customHeight="1" x14ac:dyDescent="0.3"/>
    <row r="1493" ht="15" customHeight="1" x14ac:dyDescent="0.3"/>
    <row r="1494" ht="15" customHeight="1" x14ac:dyDescent="0.3"/>
    <row r="1495" ht="15" customHeight="1" x14ac:dyDescent="0.3"/>
    <row r="1496" ht="15" customHeight="1" x14ac:dyDescent="0.3"/>
    <row r="1497" ht="15" customHeight="1" x14ac:dyDescent="0.3"/>
    <row r="1498" ht="15" customHeight="1" x14ac:dyDescent="0.3"/>
    <row r="1499" ht="15" customHeight="1" x14ac:dyDescent="0.3"/>
    <row r="1500" ht="15" customHeight="1" x14ac:dyDescent="0.3"/>
    <row r="1501" ht="15" customHeight="1" x14ac:dyDescent="0.3"/>
    <row r="1502" ht="15" customHeight="1" x14ac:dyDescent="0.3"/>
    <row r="1503" ht="15" customHeight="1" x14ac:dyDescent="0.3"/>
    <row r="1504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  <row r="1521" ht="15" customHeight="1" x14ac:dyDescent="0.3"/>
    <row r="1522" ht="15" customHeight="1" x14ac:dyDescent="0.3"/>
    <row r="1523" ht="15" customHeight="1" x14ac:dyDescent="0.3"/>
    <row r="1524" ht="15" customHeight="1" x14ac:dyDescent="0.3"/>
    <row r="1525" ht="15" customHeight="1" x14ac:dyDescent="0.3"/>
    <row r="1526" ht="15" customHeight="1" x14ac:dyDescent="0.3"/>
    <row r="1527" ht="15" customHeight="1" x14ac:dyDescent="0.3"/>
    <row r="1528" ht="15" customHeight="1" x14ac:dyDescent="0.3"/>
    <row r="1529" ht="15" customHeight="1" x14ac:dyDescent="0.3"/>
    <row r="1530" ht="15" customHeight="1" x14ac:dyDescent="0.3"/>
    <row r="1531" ht="15" customHeight="1" x14ac:dyDescent="0.3"/>
    <row r="1532" ht="15" customHeight="1" x14ac:dyDescent="0.3"/>
    <row r="1533" ht="15" customHeight="1" x14ac:dyDescent="0.3"/>
    <row r="1534" ht="15" customHeight="1" x14ac:dyDescent="0.3"/>
    <row r="1535" ht="15" customHeight="1" x14ac:dyDescent="0.3"/>
    <row r="1536" ht="15" customHeight="1" x14ac:dyDescent="0.3"/>
    <row r="1537" ht="15" customHeight="1" x14ac:dyDescent="0.3"/>
    <row r="1538" ht="15" customHeight="1" x14ac:dyDescent="0.3"/>
    <row r="1539" ht="15" customHeight="1" x14ac:dyDescent="0.3"/>
    <row r="1540" ht="15" customHeight="1" x14ac:dyDescent="0.3"/>
    <row r="1541" ht="15" customHeight="1" x14ac:dyDescent="0.3"/>
    <row r="1542" ht="15" customHeight="1" x14ac:dyDescent="0.3"/>
    <row r="1543" ht="15" customHeight="1" x14ac:dyDescent="0.3"/>
    <row r="1544" ht="15" customHeight="1" x14ac:dyDescent="0.3"/>
    <row r="1545" ht="15" customHeight="1" x14ac:dyDescent="0.3"/>
    <row r="1546" ht="15" customHeight="1" x14ac:dyDescent="0.3"/>
    <row r="1547" ht="15" customHeight="1" x14ac:dyDescent="0.3"/>
    <row r="1548" ht="15" customHeight="1" x14ac:dyDescent="0.3"/>
    <row r="1549" ht="15" customHeight="1" x14ac:dyDescent="0.3"/>
    <row r="1550" ht="15" customHeight="1" x14ac:dyDescent="0.3"/>
    <row r="1551" ht="15" customHeight="1" x14ac:dyDescent="0.3"/>
    <row r="1552" ht="15" customHeight="1" x14ac:dyDescent="0.3"/>
    <row r="1553" ht="15" customHeight="1" x14ac:dyDescent="0.3"/>
    <row r="1554" ht="15" customHeight="1" x14ac:dyDescent="0.3"/>
    <row r="1555" ht="15" customHeight="1" x14ac:dyDescent="0.3"/>
    <row r="1556" ht="15" customHeight="1" x14ac:dyDescent="0.3"/>
    <row r="1557" ht="15" customHeight="1" x14ac:dyDescent="0.3"/>
    <row r="1558" ht="15" customHeight="1" x14ac:dyDescent="0.3"/>
    <row r="1559" ht="15" customHeight="1" x14ac:dyDescent="0.3"/>
    <row r="1560" ht="15" customHeight="1" x14ac:dyDescent="0.3"/>
    <row r="1561" ht="15" customHeight="1" x14ac:dyDescent="0.3"/>
    <row r="1562" ht="15" customHeight="1" x14ac:dyDescent="0.3"/>
    <row r="1563" ht="15" customHeight="1" x14ac:dyDescent="0.3"/>
    <row r="1564" ht="15" customHeight="1" x14ac:dyDescent="0.3"/>
    <row r="1565" ht="15" customHeight="1" x14ac:dyDescent="0.3"/>
    <row r="1566" ht="15" customHeight="1" x14ac:dyDescent="0.3"/>
    <row r="1567" ht="15" customHeight="1" x14ac:dyDescent="0.3"/>
    <row r="1568" ht="15" customHeight="1" x14ac:dyDescent="0.3"/>
    <row r="1569" ht="15" customHeight="1" x14ac:dyDescent="0.3"/>
    <row r="1570" ht="15" customHeight="1" x14ac:dyDescent="0.3"/>
    <row r="1571" ht="15" customHeight="1" x14ac:dyDescent="0.3"/>
    <row r="1572" ht="15" customHeight="1" x14ac:dyDescent="0.3"/>
    <row r="1573" ht="15" customHeight="1" x14ac:dyDescent="0.3"/>
    <row r="1574" ht="15" customHeight="1" x14ac:dyDescent="0.3"/>
    <row r="1575" ht="15" customHeight="1" x14ac:dyDescent="0.3"/>
    <row r="1576" ht="15" customHeight="1" x14ac:dyDescent="0.3"/>
    <row r="1577" ht="15" customHeight="1" x14ac:dyDescent="0.3"/>
    <row r="1578" ht="15" customHeight="1" x14ac:dyDescent="0.3"/>
    <row r="1579" ht="15" customHeight="1" x14ac:dyDescent="0.3"/>
    <row r="1580" ht="15" customHeight="1" x14ac:dyDescent="0.3"/>
    <row r="1581" ht="15" customHeight="1" x14ac:dyDescent="0.3"/>
    <row r="1582" ht="15" customHeight="1" x14ac:dyDescent="0.3"/>
    <row r="1583" ht="15" customHeight="1" x14ac:dyDescent="0.3"/>
    <row r="1584" ht="15" customHeight="1" x14ac:dyDescent="0.3"/>
    <row r="1585" ht="15" customHeight="1" x14ac:dyDescent="0.3"/>
    <row r="1586" ht="15" customHeight="1" x14ac:dyDescent="0.3"/>
    <row r="1587" ht="15" customHeight="1" x14ac:dyDescent="0.3"/>
    <row r="1588" ht="15" customHeight="1" x14ac:dyDescent="0.3"/>
    <row r="1589" ht="15" customHeight="1" x14ac:dyDescent="0.3"/>
    <row r="1590" ht="15" customHeight="1" x14ac:dyDescent="0.3"/>
    <row r="1591" ht="15" customHeight="1" x14ac:dyDescent="0.3"/>
    <row r="1592" ht="15" customHeight="1" x14ac:dyDescent="0.3"/>
    <row r="1593" ht="15" customHeight="1" x14ac:dyDescent="0.3"/>
    <row r="1594" ht="15" customHeight="1" x14ac:dyDescent="0.3"/>
    <row r="1595" ht="15" customHeight="1" x14ac:dyDescent="0.3"/>
    <row r="1596" ht="15" customHeight="1" x14ac:dyDescent="0.3"/>
    <row r="1597" ht="15" customHeight="1" x14ac:dyDescent="0.3"/>
    <row r="1598" ht="15" customHeight="1" x14ac:dyDescent="0.3"/>
    <row r="1599" ht="15" customHeight="1" x14ac:dyDescent="0.3"/>
    <row r="1600" ht="15" customHeight="1" x14ac:dyDescent="0.3"/>
    <row r="1601" ht="15" customHeight="1" x14ac:dyDescent="0.3"/>
    <row r="1602" ht="15" customHeight="1" x14ac:dyDescent="0.3"/>
    <row r="1603" ht="15" customHeight="1" x14ac:dyDescent="0.3"/>
    <row r="1604" ht="15" customHeight="1" x14ac:dyDescent="0.3"/>
    <row r="1605" ht="15" customHeight="1" x14ac:dyDescent="0.3"/>
    <row r="1606" ht="15" customHeight="1" x14ac:dyDescent="0.3"/>
    <row r="1607" ht="15" customHeight="1" x14ac:dyDescent="0.3"/>
    <row r="1608" ht="15" customHeight="1" x14ac:dyDescent="0.3"/>
    <row r="1609" ht="15" customHeight="1" x14ac:dyDescent="0.3"/>
    <row r="1610" ht="15" customHeight="1" x14ac:dyDescent="0.3"/>
    <row r="1611" ht="15" customHeight="1" x14ac:dyDescent="0.3"/>
    <row r="1612" ht="15" customHeight="1" x14ac:dyDescent="0.3"/>
    <row r="1613" ht="15" customHeight="1" x14ac:dyDescent="0.3"/>
    <row r="1614" ht="15" customHeight="1" x14ac:dyDescent="0.3"/>
    <row r="1615" ht="15" customHeight="1" x14ac:dyDescent="0.3"/>
    <row r="1616" ht="15" customHeight="1" x14ac:dyDescent="0.3"/>
    <row r="1617" ht="15" customHeight="1" x14ac:dyDescent="0.3"/>
    <row r="1618" ht="15" customHeight="1" x14ac:dyDescent="0.3"/>
    <row r="1619" ht="15" customHeight="1" x14ac:dyDescent="0.3"/>
    <row r="1620" ht="15" customHeight="1" x14ac:dyDescent="0.3"/>
    <row r="1621" ht="15" customHeight="1" x14ac:dyDescent="0.3"/>
    <row r="1622" ht="15" customHeight="1" x14ac:dyDescent="0.3"/>
    <row r="1623" ht="15" customHeight="1" x14ac:dyDescent="0.3"/>
    <row r="1624" ht="15" customHeight="1" x14ac:dyDescent="0.3"/>
    <row r="1625" ht="15" customHeight="1" x14ac:dyDescent="0.3"/>
    <row r="1626" ht="15" customHeight="1" x14ac:dyDescent="0.3"/>
    <row r="1627" ht="15" customHeight="1" x14ac:dyDescent="0.3"/>
    <row r="1628" ht="15" customHeight="1" x14ac:dyDescent="0.3"/>
    <row r="1629" ht="15" customHeight="1" x14ac:dyDescent="0.3"/>
    <row r="1630" ht="15" customHeight="1" x14ac:dyDescent="0.3"/>
    <row r="1631" ht="15" customHeight="1" x14ac:dyDescent="0.3"/>
    <row r="1632" ht="15" customHeight="1" x14ac:dyDescent="0.3"/>
    <row r="1633" ht="15" customHeight="1" x14ac:dyDescent="0.3"/>
    <row r="1634" ht="15" customHeight="1" x14ac:dyDescent="0.3"/>
    <row r="1635" ht="15" customHeight="1" x14ac:dyDescent="0.3"/>
    <row r="1636" ht="15" customHeight="1" x14ac:dyDescent="0.3"/>
    <row r="1637" ht="15" customHeight="1" x14ac:dyDescent="0.3"/>
    <row r="1638" ht="15" customHeight="1" x14ac:dyDescent="0.3"/>
    <row r="1639" ht="15" customHeight="1" x14ac:dyDescent="0.3"/>
    <row r="1640" ht="15" customHeight="1" x14ac:dyDescent="0.3"/>
    <row r="1641" ht="15" customHeight="1" x14ac:dyDescent="0.3"/>
    <row r="1642" ht="15" customHeight="1" x14ac:dyDescent="0.3"/>
    <row r="1643" ht="15" customHeight="1" x14ac:dyDescent="0.3"/>
    <row r="1644" ht="15" customHeight="1" x14ac:dyDescent="0.3"/>
    <row r="1645" ht="15" customHeight="1" x14ac:dyDescent="0.3"/>
    <row r="1646" ht="15" customHeight="1" x14ac:dyDescent="0.3"/>
    <row r="1647" ht="15" customHeight="1" x14ac:dyDescent="0.3"/>
    <row r="1648" ht="15" customHeight="1" x14ac:dyDescent="0.3"/>
    <row r="1649" ht="15" customHeight="1" x14ac:dyDescent="0.3"/>
    <row r="1650" ht="15" customHeight="1" x14ac:dyDescent="0.3"/>
    <row r="1651" ht="15" customHeight="1" x14ac:dyDescent="0.3"/>
    <row r="1652" ht="15" customHeight="1" x14ac:dyDescent="0.3"/>
    <row r="1653" ht="15" customHeight="1" x14ac:dyDescent="0.3"/>
    <row r="1654" ht="15" customHeight="1" x14ac:dyDescent="0.3"/>
    <row r="1655" ht="15" customHeight="1" x14ac:dyDescent="0.3"/>
    <row r="1656" ht="15" customHeight="1" x14ac:dyDescent="0.3"/>
    <row r="1657" ht="15" customHeight="1" x14ac:dyDescent="0.3"/>
    <row r="1658" ht="15" customHeight="1" x14ac:dyDescent="0.3"/>
    <row r="1659" ht="15" customHeight="1" x14ac:dyDescent="0.3"/>
    <row r="1660" ht="15" customHeight="1" x14ac:dyDescent="0.3"/>
    <row r="1661" ht="15" customHeight="1" x14ac:dyDescent="0.3"/>
    <row r="1662" ht="15" customHeight="1" x14ac:dyDescent="0.3"/>
    <row r="1663" ht="15" customHeight="1" x14ac:dyDescent="0.3"/>
    <row r="1664" ht="15" customHeight="1" x14ac:dyDescent="0.3"/>
    <row r="1665" ht="15" customHeight="1" x14ac:dyDescent="0.3"/>
    <row r="1666" ht="15" customHeight="1" x14ac:dyDescent="0.3"/>
    <row r="1667" ht="15" customHeight="1" x14ac:dyDescent="0.3"/>
    <row r="1668" ht="15" customHeight="1" x14ac:dyDescent="0.3"/>
    <row r="1669" ht="15" customHeight="1" x14ac:dyDescent="0.3"/>
    <row r="1670" ht="15" customHeight="1" x14ac:dyDescent="0.3"/>
    <row r="1671" ht="15" customHeight="1" x14ac:dyDescent="0.3"/>
    <row r="1672" ht="15" customHeight="1" x14ac:dyDescent="0.3"/>
    <row r="1673" ht="15" customHeight="1" x14ac:dyDescent="0.3"/>
    <row r="1674" ht="15" customHeight="1" x14ac:dyDescent="0.3"/>
    <row r="1675" ht="15" customHeight="1" x14ac:dyDescent="0.3"/>
    <row r="1676" ht="15" customHeight="1" x14ac:dyDescent="0.3"/>
    <row r="1677" ht="15" customHeight="1" x14ac:dyDescent="0.3"/>
    <row r="1678" ht="15" customHeight="1" x14ac:dyDescent="0.3"/>
    <row r="1679" ht="15" customHeight="1" x14ac:dyDescent="0.3"/>
    <row r="1680" ht="15" customHeight="1" x14ac:dyDescent="0.3"/>
    <row r="1681" ht="15" customHeight="1" x14ac:dyDescent="0.3"/>
    <row r="1682" ht="15" customHeight="1" x14ac:dyDescent="0.3"/>
    <row r="1683" ht="15" customHeight="1" x14ac:dyDescent="0.3"/>
    <row r="1684" ht="15" customHeight="1" x14ac:dyDescent="0.3"/>
    <row r="1685" ht="15" customHeight="1" x14ac:dyDescent="0.3"/>
    <row r="1686" ht="15" customHeight="1" x14ac:dyDescent="0.3"/>
    <row r="1687" ht="15" customHeight="1" x14ac:dyDescent="0.3"/>
    <row r="1688" ht="15" customHeight="1" x14ac:dyDescent="0.3"/>
    <row r="1689" ht="15" customHeight="1" x14ac:dyDescent="0.3"/>
    <row r="1690" ht="15" customHeight="1" x14ac:dyDescent="0.3"/>
    <row r="1691" ht="15" customHeight="1" x14ac:dyDescent="0.3"/>
    <row r="1692" ht="15" customHeight="1" x14ac:dyDescent="0.3"/>
    <row r="1693" ht="15" customHeight="1" x14ac:dyDescent="0.3"/>
    <row r="1694" ht="15" customHeight="1" x14ac:dyDescent="0.3"/>
    <row r="1695" ht="15" customHeight="1" x14ac:dyDescent="0.3"/>
    <row r="1696" ht="15" customHeight="1" x14ac:dyDescent="0.3"/>
    <row r="1697" ht="15" customHeight="1" x14ac:dyDescent="0.3"/>
    <row r="1698" ht="15" customHeight="1" x14ac:dyDescent="0.3"/>
    <row r="1699" ht="15" customHeight="1" x14ac:dyDescent="0.3"/>
    <row r="1700" ht="15" customHeight="1" x14ac:dyDescent="0.3"/>
    <row r="1701" ht="15" customHeight="1" x14ac:dyDescent="0.3"/>
    <row r="1702" ht="15" customHeight="1" x14ac:dyDescent="0.3"/>
    <row r="1703" ht="15" customHeight="1" x14ac:dyDescent="0.3"/>
    <row r="1704" ht="15" customHeight="1" x14ac:dyDescent="0.3"/>
    <row r="1705" ht="15" customHeight="1" x14ac:dyDescent="0.3"/>
    <row r="1706" ht="15" customHeight="1" x14ac:dyDescent="0.3"/>
    <row r="1707" ht="15" customHeight="1" x14ac:dyDescent="0.3"/>
    <row r="1708" ht="15" customHeight="1" x14ac:dyDescent="0.3"/>
    <row r="1709" ht="15" customHeight="1" x14ac:dyDescent="0.3"/>
    <row r="1710" ht="15" customHeight="1" x14ac:dyDescent="0.3"/>
    <row r="1711" ht="15" customHeight="1" x14ac:dyDescent="0.3"/>
    <row r="1712" ht="15" customHeight="1" x14ac:dyDescent="0.3"/>
    <row r="1713" ht="15" customHeight="1" x14ac:dyDescent="0.3"/>
    <row r="1714" ht="15" customHeight="1" x14ac:dyDescent="0.3"/>
    <row r="1715" ht="15" customHeight="1" x14ac:dyDescent="0.3"/>
    <row r="1716" ht="15" customHeight="1" x14ac:dyDescent="0.3"/>
    <row r="1717" ht="15" customHeight="1" x14ac:dyDescent="0.3"/>
    <row r="1718" ht="15" customHeight="1" x14ac:dyDescent="0.3"/>
    <row r="1719" ht="15" customHeight="1" x14ac:dyDescent="0.3"/>
    <row r="1720" ht="15" customHeight="1" x14ac:dyDescent="0.3"/>
    <row r="1721" ht="15" customHeight="1" x14ac:dyDescent="0.3"/>
    <row r="1722" ht="15" customHeight="1" x14ac:dyDescent="0.3"/>
    <row r="1723" ht="15" customHeight="1" x14ac:dyDescent="0.3"/>
    <row r="1724" ht="15" customHeight="1" x14ac:dyDescent="0.3"/>
    <row r="1725" ht="15" customHeight="1" x14ac:dyDescent="0.3"/>
    <row r="1726" ht="15" customHeight="1" x14ac:dyDescent="0.3"/>
    <row r="1727" ht="15" customHeight="1" x14ac:dyDescent="0.3"/>
    <row r="1728" ht="15" customHeight="1" x14ac:dyDescent="0.3"/>
    <row r="1729" ht="15" customHeight="1" x14ac:dyDescent="0.3"/>
    <row r="1730" ht="15" customHeight="1" x14ac:dyDescent="0.3"/>
    <row r="1731" ht="15" customHeight="1" x14ac:dyDescent="0.3"/>
    <row r="1732" ht="15" customHeight="1" x14ac:dyDescent="0.3"/>
    <row r="1733" ht="15" customHeight="1" x14ac:dyDescent="0.3"/>
    <row r="1734" ht="15" customHeight="1" x14ac:dyDescent="0.3"/>
    <row r="1735" ht="15" customHeight="1" x14ac:dyDescent="0.3"/>
    <row r="1736" ht="15" customHeight="1" x14ac:dyDescent="0.3"/>
    <row r="1737" ht="15" customHeight="1" x14ac:dyDescent="0.3"/>
    <row r="1738" ht="15" customHeight="1" x14ac:dyDescent="0.3"/>
    <row r="1739" ht="15" customHeight="1" x14ac:dyDescent="0.3"/>
    <row r="1740" ht="15" customHeight="1" x14ac:dyDescent="0.3"/>
    <row r="1741" ht="15" customHeight="1" x14ac:dyDescent="0.3"/>
    <row r="1742" ht="15" customHeight="1" x14ac:dyDescent="0.3"/>
    <row r="1743" ht="15" customHeight="1" x14ac:dyDescent="0.3"/>
    <row r="1744" ht="15" customHeight="1" x14ac:dyDescent="0.3"/>
    <row r="1745" ht="15" customHeight="1" x14ac:dyDescent="0.3"/>
    <row r="1746" ht="15" customHeight="1" x14ac:dyDescent="0.3"/>
    <row r="1747" ht="15" customHeight="1" x14ac:dyDescent="0.3"/>
    <row r="1748" ht="15" customHeight="1" x14ac:dyDescent="0.3"/>
    <row r="1749" ht="15" customHeight="1" x14ac:dyDescent="0.3"/>
    <row r="1750" ht="15" customHeight="1" x14ac:dyDescent="0.3"/>
    <row r="1751" ht="15" customHeight="1" x14ac:dyDescent="0.3"/>
    <row r="1752" ht="15" customHeight="1" x14ac:dyDescent="0.3"/>
    <row r="1753" ht="15" customHeight="1" x14ac:dyDescent="0.3"/>
    <row r="1754" ht="15" customHeight="1" x14ac:dyDescent="0.3"/>
    <row r="1755" ht="15" customHeight="1" x14ac:dyDescent="0.3"/>
    <row r="1756" ht="15" customHeight="1" x14ac:dyDescent="0.3"/>
    <row r="1757" ht="15" customHeight="1" x14ac:dyDescent="0.3"/>
    <row r="1758" ht="15" customHeight="1" x14ac:dyDescent="0.3"/>
    <row r="1759" ht="15" customHeight="1" x14ac:dyDescent="0.3"/>
    <row r="1760" ht="15" customHeight="1" x14ac:dyDescent="0.3"/>
    <row r="1761" ht="15" customHeight="1" x14ac:dyDescent="0.3"/>
    <row r="1762" ht="15" customHeight="1" x14ac:dyDescent="0.3"/>
    <row r="1763" ht="15" customHeight="1" x14ac:dyDescent="0.3"/>
    <row r="1764" ht="15" customHeight="1" x14ac:dyDescent="0.3"/>
    <row r="1765" ht="15" customHeight="1" x14ac:dyDescent="0.3"/>
    <row r="1766" ht="15" customHeight="1" x14ac:dyDescent="0.3"/>
    <row r="1767" ht="15" customHeight="1" x14ac:dyDescent="0.3"/>
    <row r="1768" ht="15" customHeight="1" x14ac:dyDescent="0.3"/>
    <row r="1769" ht="15" customHeight="1" x14ac:dyDescent="0.3"/>
    <row r="1770" ht="15" customHeight="1" x14ac:dyDescent="0.3"/>
    <row r="1771" ht="15" customHeight="1" x14ac:dyDescent="0.3"/>
    <row r="1772" ht="15" customHeight="1" x14ac:dyDescent="0.3"/>
    <row r="1773" ht="15" customHeight="1" x14ac:dyDescent="0.3"/>
    <row r="1774" ht="15" customHeight="1" x14ac:dyDescent="0.3"/>
    <row r="1775" ht="15" customHeight="1" x14ac:dyDescent="0.3"/>
    <row r="1776" ht="15" customHeight="1" x14ac:dyDescent="0.3"/>
    <row r="1777" ht="15" customHeight="1" x14ac:dyDescent="0.3"/>
    <row r="1778" ht="15" customHeight="1" x14ac:dyDescent="0.3"/>
    <row r="1779" ht="15" customHeight="1" x14ac:dyDescent="0.3"/>
    <row r="1780" ht="15" customHeight="1" x14ac:dyDescent="0.3"/>
    <row r="1781" ht="15" customHeight="1" x14ac:dyDescent="0.3"/>
    <row r="1782" ht="15" customHeight="1" x14ac:dyDescent="0.3"/>
    <row r="1783" ht="15" customHeight="1" x14ac:dyDescent="0.3"/>
    <row r="1784" ht="15" customHeight="1" x14ac:dyDescent="0.3"/>
    <row r="1785" ht="15" customHeight="1" x14ac:dyDescent="0.3"/>
    <row r="1786" ht="15" customHeight="1" x14ac:dyDescent="0.3"/>
    <row r="1787" ht="15" customHeight="1" x14ac:dyDescent="0.3"/>
    <row r="1788" ht="15" customHeight="1" x14ac:dyDescent="0.3"/>
    <row r="1789" ht="15" customHeight="1" x14ac:dyDescent="0.3"/>
    <row r="1790" ht="15" customHeight="1" x14ac:dyDescent="0.3"/>
    <row r="1791" ht="15" customHeight="1" x14ac:dyDescent="0.3"/>
    <row r="1792" ht="15" customHeight="1" x14ac:dyDescent="0.3"/>
    <row r="1793" ht="15" customHeight="1" x14ac:dyDescent="0.3"/>
    <row r="1794" ht="15" customHeight="1" x14ac:dyDescent="0.3"/>
    <row r="1795" ht="15" customHeight="1" x14ac:dyDescent="0.3"/>
    <row r="1796" ht="15" customHeight="1" x14ac:dyDescent="0.3"/>
    <row r="1797" ht="15" customHeight="1" x14ac:dyDescent="0.3"/>
    <row r="1798" ht="15" customHeight="1" x14ac:dyDescent="0.3"/>
    <row r="1799" ht="15" customHeight="1" x14ac:dyDescent="0.3"/>
    <row r="1800" ht="15" customHeight="1" x14ac:dyDescent="0.3"/>
    <row r="1801" ht="15" customHeight="1" x14ac:dyDescent="0.3"/>
    <row r="1802" ht="15" customHeight="1" x14ac:dyDescent="0.3"/>
    <row r="1803" ht="15" customHeight="1" x14ac:dyDescent="0.3"/>
    <row r="1804" ht="15" customHeight="1" x14ac:dyDescent="0.3"/>
    <row r="1805" ht="15" customHeight="1" x14ac:dyDescent="0.3"/>
    <row r="1806" ht="15" customHeight="1" x14ac:dyDescent="0.3"/>
    <row r="1807" ht="15" customHeight="1" x14ac:dyDescent="0.3"/>
    <row r="1808" ht="15" customHeight="1" x14ac:dyDescent="0.3"/>
    <row r="1809" ht="15" customHeight="1" x14ac:dyDescent="0.3"/>
    <row r="1810" ht="15" customHeight="1" x14ac:dyDescent="0.3"/>
    <row r="1811" ht="15" customHeight="1" x14ac:dyDescent="0.3"/>
    <row r="1812" ht="15" customHeight="1" x14ac:dyDescent="0.3"/>
    <row r="1813" ht="15" customHeight="1" x14ac:dyDescent="0.3"/>
    <row r="1814" ht="15" customHeight="1" x14ac:dyDescent="0.3"/>
    <row r="1815" ht="15" customHeight="1" x14ac:dyDescent="0.3"/>
    <row r="1816" ht="15" customHeight="1" x14ac:dyDescent="0.3"/>
    <row r="1817" ht="15" customHeight="1" x14ac:dyDescent="0.3"/>
    <row r="1818" ht="15" customHeight="1" x14ac:dyDescent="0.3"/>
    <row r="1819" ht="15" customHeight="1" x14ac:dyDescent="0.3"/>
    <row r="1820" ht="15" customHeight="1" x14ac:dyDescent="0.3"/>
    <row r="1821" ht="15" customHeight="1" x14ac:dyDescent="0.3"/>
    <row r="1822" ht="15" customHeight="1" x14ac:dyDescent="0.3"/>
    <row r="1823" ht="15" customHeight="1" x14ac:dyDescent="0.3"/>
    <row r="1824" ht="15" customHeight="1" x14ac:dyDescent="0.3"/>
    <row r="1825" ht="15" customHeight="1" x14ac:dyDescent="0.3"/>
    <row r="1826" ht="15" customHeight="1" x14ac:dyDescent="0.3"/>
    <row r="1827" ht="15" customHeight="1" x14ac:dyDescent="0.3"/>
    <row r="1828" ht="15" customHeight="1" x14ac:dyDescent="0.3"/>
    <row r="1829" ht="15" customHeight="1" x14ac:dyDescent="0.3"/>
    <row r="1830" ht="15" customHeight="1" x14ac:dyDescent="0.3"/>
    <row r="1831" ht="15" customHeight="1" x14ac:dyDescent="0.3"/>
    <row r="1832" ht="15" customHeight="1" x14ac:dyDescent="0.3"/>
    <row r="1833" ht="15" customHeight="1" x14ac:dyDescent="0.3"/>
    <row r="1834" ht="15" customHeight="1" x14ac:dyDescent="0.3"/>
    <row r="1835" ht="15" customHeight="1" x14ac:dyDescent="0.3"/>
    <row r="1836" ht="15" customHeight="1" x14ac:dyDescent="0.3"/>
    <row r="1837" ht="15" customHeight="1" x14ac:dyDescent="0.3"/>
    <row r="1838" ht="15" customHeight="1" x14ac:dyDescent="0.3"/>
    <row r="1839" ht="15" customHeight="1" x14ac:dyDescent="0.3"/>
    <row r="1840" ht="15" customHeight="1" x14ac:dyDescent="0.3"/>
    <row r="1841" ht="15" customHeight="1" x14ac:dyDescent="0.3"/>
    <row r="1842" ht="15" customHeight="1" x14ac:dyDescent="0.3"/>
    <row r="1843" ht="15" customHeight="1" x14ac:dyDescent="0.3"/>
    <row r="1844" ht="15" customHeight="1" x14ac:dyDescent="0.3"/>
    <row r="1845" ht="15" customHeight="1" x14ac:dyDescent="0.3"/>
    <row r="1846" ht="15" customHeight="1" x14ac:dyDescent="0.3"/>
    <row r="1847" ht="15" customHeight="1" x14ac:dyDescent="0.3"/>
    <row r="1848" ht="15" customHeight="1" x14ac:dyDescent="0.3"/>
    <row r="1849" ht="15" customHeight="1" x14ac:dyDescent="0.3"/>
    <row r="1850" ht="15" customHeight="1" x14ac:dyDescent="0.3"/>
    <row r="1851" ht="15" customHeight="1" x14ac:dyDescent="0.3"/>
    <row r="1852" ht="15" customHeight="1" x14ac:dyDescent="0.3"/>
    <row r="1853" ht="15" customHeight="1" x14ac:dyDescent="0.3"/>
    <row r="1854" ht="15" customHeight="1" x14ac:dyDescent="0.3"/>
    <row r="1855" ht="15" customHeight="1" x14ac:dyDescent="0.3"/>
    <row r="1856" ht="15" customHeight="1" x14ac:dyDescent="0.3"/>
    <row r="1857" ht="15" customHeight="1" x14ac:dyDescent="0.3"/>
    <row r="1858" ht="15" customHeight="1" x14ac:dyDescent="0.3"/>
    <row r="1859" ht="15" customHeight="1" x14ac:dyDescent="0.3"/>
    <row r="1860" ht="15" customHeight="1" x14ac:dyDescent="0.3"/>
    <row r="1861" ht="15" customHeight="1" x14ac:dyDescent="0.3"/>
    <row r="1862" ht="15" customHeight="1" x14ac:dyDescent="0.3"/>
    <row r="1863" ht="15" customHeight="1" x14ac:dyDescent="0.3"/>
    <row r="1864" ht="15" customHeight="1" x14ac:dyDescent="0.3"/>
    <row r="1865" ht="15" customHeight="1" x14ac:dyDescent="0.3"/>
    <row r="1866" ht="15" customHeight="1" x14ac:dyDescent="0.3"/>
    <row r="1867" ht="15" customHeight="1" x14ac:dyDescent="0.3"/>
    <row r="1868" ht="15" customHeight="1" x14ac:dyDescent="0.3"/>
    <row r="1869" ht="15" customHeight="1" x14ac:dyDescent="0.3"/>
    <row r="1870" ht="15" customHeight="1" x14ac:dyDescent="0.3"/>
    <row r="1871" ht="15" customHeight="1" x14ac:dyDescent="0.3"/>
    <row r="1872" ht="15" customHeight="1" x14ac:dyDescent="0.3"/>
    <row r="1873" ht="15" customHeight="1" x14ac:dyDescent="0.3"/>
    <row r="1874" ht="15" customHeight="1" x14ac:dyDescent="0.3"/>
    <row r="1875" ht="15" customHeight="1" x14ac:dyDescent="0.3"/>
    <row r="1876" ht="15" customHeight="1" x14ac:dyDescent="0.3"/>
    <row r="1877" ht="15" customHeight="1" x14ac:dyDescent="0.3"/>
    <row r="1878" ht="15" customHeight="1" x14ac:dyDescent="0.3"/>
    <row r="1879" ht="15" customHeight="1" x14ac:dyDescent="0.3"/>
    <row r="1880" ht="15" customHeight="1" x14ac:dyDescent="0.3"/>
    <row r="1881" ht="15" customHeight="1" x14ac:dyDescent="0.3"/>
    <row r="1882" ht="15" customHeight="1" x14ac:dyDescent="0.3"/>
    <row r="1883" ht="15" customHeight="1" x14ac:dyDescent="0.3"/>
    <row r="1884" ht="15" customHeight="1" x14ac:dyDescent="0.3"/>
    <row r="1885" ht="15" customHeight="1" x14ac:dyDescent="0.3"/>
    <row r="1886" ht="15" customHeight="1" x14ac:dyDescent="0.3"/>
    <row r="1887" ht="15" customHeight="1" x14ac:dyDescent="0.3"/>
    <row r="1888" ht="15" customHeight="1" x14ac:dyDescent="0.3"/>
    <row r="1889" ht="15" customHeight="1" x14ac:dyDescent="0.3"/>
    <row r="1890" ht="15" customHeight="1" x14ac:dyDescent="0.3"/>
    <row r="1891" ht="15" customHeight="1" x14ac:dyDescent="0.3"/>
    <row r="1892" ht="15" customHeight="1" x14ac:dyDescent="0.3"/>
    <row r="1893" ht="15" customHeight="1" x14ac:dyDescent="0.3"/>
    <row r="1894" ht="15" customHeight="1" x14ac:dyDescent="0.3"/>
    <row r="1895" ht="15" customHeight="1" x14ac:dyDescent="0.3"/>
    <row r="1896" ht="15" customHeight="1" x14ac:dyDescent="0.3"/>
    <row r="1897" ht="15" customHeight="1" x14ac:dyDescent="0.3"/>
    <row r="1898" ht="15" customHeight="1" x14ac:dyDescent="0.3"/>
    <row r="1899" ht="15" customHeight="1" x14ac:dyDescent="0.3"/>
    <row r="1900" ht="15" customHeight="1" x14ac:dyDescent="0.3"/>
    <row r="1901" ht="15" customHeight="1" x14ac:dyDescent="0.3"/>
    <row r="1902" ht="15" customHeight="1" x14ac:dyDescent="0.3"/>
    <row r="1903" ht="15" customHeight="1" x14ac:dyDescent="0.3"/>
    <row r="1904" ht="15" customHeight="1" x14ac:dyDescent="0.3"/>
    <row r="1905" ht="15" customHeight="1" x14ac:dyDescent="0.3"/>
    <row r="1906" ht="15" customHeight="1" x14ac:dyDescent="0.3"/>
    <row r="1907" ht="15" customHeight="1" x14ac:dyDescent="0.3"/>
    <row r="1908" ht="15" customHeight="1" x14ac:dyDescent="0.3"/>
    <row r="1909" ht="15" customHeight="1" x14ac:dyDescent="0.3"/>
    <row r="1910" ht="15" customHeight="1" x14ac:dyDescent="0.3"/>
    <row r="1911" ht="15" customHeight="1" x14ac:dyDescent="0.3"/>
    <row r="1912" ht="15" customHeight="1" x14ac:dyDescent="0.3"/>
    <row r="1913" ht="15" customHeight="1" x14ac:dyDescent="0.3"/>
    <row r="1914" ht="15" customHeight="1" x14ac:dyDescent="0.3"/>
    <row r="1915" ht="15" customHeight="1" x14ac:dyDescent="0.3"/>
    <row r="1916" ht="15" customHeight="1" x14ac:dyDescent="0.3"/>
    <row r="1917" ht="15" customHeight="1" x14ac:dyDescent="0.3"/>
    <row r="1918" ht="15" customHeight="1" x14ac:dyDescent="0.3"/>
    <row r="1919" ht="15" customHeight="1" x14ac:dyDescent="0.3"/>
    <row r="1920" ht="15" customHeight="1" x14ac:dyDescent="0.3"/>
    <row r="1921" ht="15" customHeight="1" x14ac:dyDescent="0.3"/>
    <row r="1922" ht="15" customHeight="1" x14ac:dyDescent="0.3"/>
    <row r="1923" ht="15" customHeight="1" x14ac:dyDescent="0.3"/>
    <row r="1924" ht="15" customHeight="1" x14ac:dyDescent="0.3"/>
    <row r="1925" ht="15" customHeight="1" x14ac:dyDescent="0.3"/>
    <row r="1926" ht="15" customHeight="1" x14ac:dyDescent="0.3"/>
    <row r="1927" ht="15" customHeight="1" x14ac:dyDescent="0.3"/>
    <row r="1928" ht="15" customHeight="1" x14ac:dyDescent="0.3"/>
    <row r="1929" ht="15" customHeight="1" x14ac:dyDescent="0.3"/>
    <row r="1930" ht="15" customHeight="1" x14ac:dyDescent="0.3"/>
    <row r="1931" ht="15" customHeight="1" x14ac:dyDescent="0.3"/>
    <row r="1932" ht="15" customHeight="1" x14ac:dyDescent="0.3"/>
    <row r="1933" ht="15" customHeight="1" x14ac:dyDescent="0.3"/>
    <row r="1934" ht="15" customHeight="1" x14ac:dyDescent="0.3"/>
    <row r="1935" ht="15" customHeight="1" x14ac:dyDescent="0.3"/>
    <row r="1936" ht="15" customHeight="1" x14ac:dyDescent="0.3"/>
    <row r="1937" ht="15" customHeight="1" x14ac:dyDescent="0.3"/>
    <row r="1938" ht="15" customHeight="1" x14ac:dyDescent="0.3"/>
    <row r="1939" ht="15" customHeight="1" x14ac:dyDescent="0.3"/>
    <row r="1940" ht="15" customHeight="1" x14ac:dyDescent="0.3"/>
    <row r="1941" ht="15" customHeight="1" x14ac:dyDescent="0.3"/>
    <row r="1942" ht="15" customHeight="1" x14ac:dyDescent="0.3"/>
    <row r="1943" ht="15" customHeight="1" x14ac:dyDescent="0.3"/>
    <row r="1944" ht="15" customHeight="1" x14ac:dyDescent="0.3"/>
    <row r="1945" ht="15" customHeight="1" x14ac:dyDescent="0.3"/>
    <row r="1946" ht="15" customHeight="1" x14ac:dyDescent="0.3"/>
    <row r="1947" ht="15" customHeight="1" x14ac:dyDescent="0.3"/>
    <row r="1948" ht="15" customHeight="1" x14ac:dyDescent="0.3"/>
    <row r="1949" ht="15" customHeight="1" x14ac:dyDescent="0.3"/>
    <row r="1950" ht="15" customHeight="1" x14ac:dyDescent="0.3"/>
    <row r="1951" ht="15" customHeight="1" x14ac:dyDescent="0.3"/>
    <row r="1952" ht="15" customHeight="1" x14ac:dyDescent="0.3"/>
    <row r="1953" ht="15" customHeight="1" x14ac:dyDescent="0.3"/>
    <row r="1954" ht="15" customHeight="1" x14ac:dyDescent="0.3"/>
    <row r="1955" ht="15" customHeight="1" x14ac:dyDescent="0.3"/>
    <row r="1956" ht="15" customHeight="1" x14ac:dyDescent="0.3"/>
    <row r="1957" ht="15" customHeight="1" x14ac:dyDescent="0.3"/>
    <row r="1958" ht="15" customHeight="1" x14ac:dyDescent="0.3"/>
    <row r="1959" ht="15" customHeight="1" x14ac:dyDescent="0.3"/>
    <row r="1960" ht="15" customHeight="1" x14ac:dyDescent="0.3"/>
    <row r="1961" ht="15" customHeight="1" x14ac:dyDescent="0.3"/>
    <row r="1962" ht="15" customHeight="1" x14ac:dyDescent="0.3"/>
    <row r="1963" ht="15" customHeight="1" x14ac:dyDescent="0.3"/>
    <row r="1964" ht="15" customHeight="1" x14ac:dyDescent="0.3"/>
    <row r="1965" ht="15" customHeight="1" x14ac:dyDescent="0.3"/>
    <row r="1966" ht="15" customHeight="1" x14ac:dyDescent="0.3"/>
    <row r="1967" ht="15" customHeight="1" x14ac:dyDescent="0.3"/>
    <row r="1968" ht="15" customHeight="1" x14ac:dyDescent="0.3"/>
    <row r="1969" ht="15" customHeight="1" x14ac:dyDescent="0.3"/>
    <row r="1970" ht="15" customHeight="1" x14ac:dyDescent="0.3"/>
    <row r="1971" ht="15" customHeight="1" x14ac:dyDescent="0.3"/>
    <row r="1972" ht="15" customHeight="1" x14ac:dyDescent="0.3"/>
    <row r="1973" ht="15" customHeight="1" x14ac:dyDescent="0.3"/>
    <row r="1974" ht="15" customHeight="1" x14ac:dyDescent="0.3"/>
    <row r="1975" ht="15" customHeight="1" x14ac:dyDescent="0.3"/>
    <row r="1976" ht="15" customHeight="1" x14ac:dyDescent="0.3"/>
    <row r="1977" ht="15" customHeight="1" x14ac:dyDescent="0.3"/>
    <row r="1978" ht="15" customHeight="1" x14ac:dyDescent="0.3"/>
    <row r="1979" ht="15" customHeight="1" x14ac:dyDescent="0.3"/>
    <row r="1980" ht="15" customHeight="1" x14ac:dyDescent="0.3"/>
    <row r="1981" ht="15" customHeight="1" x14ac:dyDescent="0.3"/>
    <row r="1982" ht="15" customHeight="1" x14ac:dyDescent="0.3"/>
    <row r="1983" ht="15" customHeight="1" x14ac:dyDescent="0.3"/>
    <row r="1984" ht="15" customHeight="1" x14ac:dyDescent="0.3"/>
    <row r="1985" ht="15" customHeight="1" x14ac:dyDescent="0.3"/>
    <row r="1986" ht="15" customHeight="1" x14ac:dyDescent="0.3"/>
    <row r="1987" ht="15" customHeight="1" x14ac:dyDescent="0.3"/>
    <row r="1988" ht="15" customHeight="1" x14ac:dyDescent="0.3"/>
    <row r="1989" ht="15" customHeight="1" x14ac:dyDescent="0.3"/>
    <row r="1990" ht="15" customHeight="1" x14ac:dyDescent="0.3"/>
    <row r="1991" ht="15" customHeight="1" x14ac:dyDescent="0.3"/>
    <row r="1992" ht="15" customHeight="1" x14ac:dyDescent="0.3"/>
    <row r="1993" ht="15" customHeight="1" x14ac:dyDescent="0.3"/>
    <row r="1994" ht="15" customHeight="1" x14ac:dyDescent="0.3"/>
    <row r="1995" ht="15" customHeight="1" x14ac:dyDescent="0.3"/>
    <row r="1996" ht="15" customHeight="1" x14ac:dyDescent="0.3"/>
    <row r="1997" ht="15" customHeight="1" x14ac:dyDescent="0.3"/>
    <row r="1998" ht="15" customHeight="1" x14ac:dyDescent="0.3"/>
    <row r="1999" ht="15" customHeight="1" x14ac:dyDescent="0.3"/>
    <row r="2000" ht="15" customHeight="1" x14ac:dyDescent="0.3"/>
    <row r="2001" ht="15" customHeight="1" x14ac:dyDescent="0.3"/>
    <row r="2002" ht="15" customHeight="1" x14ac:dyDescent="0.3"/>
    <row r="2003" ht="15" customHeight="1" x14ac:dyDescent="0.3"/>
    <row r="2004" ht="15" customHeight="1" x14ac:dyDescent="0.3"/>
    <row r="2005" ht="15" customHeight="1" x14ac:dyDescent="0.3"/>
    <row r="2006" ht="15" customHeight="1" x14ac:dyDescent="0.3"/>
    <row r="2007" ht="15" customHeight="1" x14ac:dyDescent="0.3"/>
    <row r="2008" ht="15" customHeight="1" x14ac:dyDescent="0.3"/>
    <row r="2009" ht="15" customHeight="1" x14ac:dyDescent="0.3"/>
    <row r="2010" ht="15" customHeight="1" x14ac:dyDescent="0.3"/>
    <row r="2011" ht="15" customHeight="1" x14ac:dyDescent="0.3"/>
    <row r="2012" ht="15" customHeight="1" x14ac:dyDescent="0.3"/>
    <row r="2013" ht="15" customHeight="1" x14ac:dyDescent="0.3"/>
    <row r="2014" ht="15" customHeight="1" x14ac:dyDescent="0.3"/>
    <row r="2015" ht="15" customHeight="1" x14ac:dyDescent="0.3"/>
    <row r="2016" ht="15" customHeight="1" x14ac:dyDescent="0.3"/>
    <row r="2017" ht="15" customHeight="1" x14ac:dyDescent="0.3"/>
    <row r="2018" ht="15" customHeight="1" x14ac:dyDescent="0.3"/>
    <row r="2019" ht="15" customHeight="1" x14ac:dyDescent="0.3"/>
    <row r="2020" ht="15" customHeight="1" x14ac:dyDescent="0.3"/>
    <row r="2021" ht="15" customHeight="1" x14ac:dyDescent="0.3"/>
    <row r="2022" ht="15" customHeight="1" x14ac:dyDescent="0.3"/>
    <row r="2023" ht="15" customHeight="1" x14ac:dyDescent="0.3"/>
    <row r="2024" ht="15" customHeight="1" x14ac:dyDescent="0.3"/>
    <row r="2025" ht="15" customHeight="1" x14ac:dyDescent="0.3"/>
    <row r="2026" ht="15" customHeight="1" x14ac:dyDescent="0.3"/>
    <row r="2027" ht="15" customHeight="1" x14ac:dyDescent="0.3"/>
    <row r="2028" ht="15" customHeight="1" x14ac:dyDescent="0.3"/>
    <row r="2029" ht="15" customHeight="1" x14ac:dyDescent="0.3"/>
    <row r="2030" ht="15" customHeight="1" x14ac:dyDescent="0.3"/>
    <row r="2031" ht="15" customHeight="1" x14ac:dyDescent="0.3"/>
    <row r="2032" ht="15" customHeight="1" x14ac:dyDescent="0.3"/>
    <row r="2033" ht="15" customHeight="1" x14ac:dyDescent="0.3"/>
    <row r="2034" ht="15" customHeight="1" x14ac:dyDescent="0.3"/>
    <row r="2035" ht="15" customHeight="1" x14ac:dyDescent="0.3"/>
    <row r="2036" ht="15" customHeight="1" x14ac:dyDescent="0.3"/>
    <row r="2037" ht="15" customHeight="1" x14ac:dyDescent="0.3"/>
    <row r="2038" ht="15" customHeight="1" x14ac:dyDescent="0.3"/>
    <row r="2039" ht="15" customHeight="1" x14ac:dyDescent="0.3"/>
    <row r="2040" ht="15" customHeight="1" x14ac:dyDescent="0.3"/>
    <row r="2041" ht="15" customHeight="1" x14ac:dyDescent="0.3"/>
    <row r="2042" ht="15" customHeight="1" x14ac:dyDescent="0.3"/>
    <row r="2043" ht="15" customHeight="1" x14ac:dyDescent="0.3"/>
    <row r="2044" ht="15" customHeight="1" x14ac:dyDescent="0.3"/>
    <row r="2045" ht="15" customHeight="1" x14ac:dyDescent="0.3"/>
    <row r="2046" ht="15" customHeight="1" x14ac:dyDescent="0.3"/>
    <row r="2047" ht="15" customHeight="1" x14ac:dyDescent="0.3"/>
    <row r="2048" ht="15" customHeight="1" x14ac:dyDescent="0.3"/>
    <row r="2049" ht="15" customHeight="1" x14ac:dyDescent="0.3"/>
    <row r="2050" ht="15" customHeight="1" x14ac:dyDescent="0.3"/>
    <row r="2051" ht="15" customHeight="1" x14ac:dyDescent="0.3"/>
    <row r="2052" ht="15" customHeight="1" x14ac:dyDescent="0.3"/>
    <row r="2053" ht="15" customHeight="1" x14ac:dyDescent="0.3"/>
    <row r="2054" ht="15" customHeight="1" x14ac:dyDescent="0.3"/>
    <row r="2055" ht="15" customHeight="1" x14ac:dyDescent="0.3"/>
    <row r="2056" ht="15" customHeight="1" x14ac:dyDescent="0.3"/>
    <row r="2057" ht="15" customHeight="1" x14ac:dyDescent="0.3"/>
    <row r="2058" ht="15" customHeight="1" x14ac:dyDescent="0.3"/>
    <row r="2059" ht="15" customHeight="1" x14ac:dyDescent="0.3"/>
    <row r="2060" ht="15" customHeight="1" x14ac:dyDescent="0.3"/>
    <row r="2061" ht="15" customHeight="1" x14ac:dyDescent="0.3"/>
    <row r="2062" ht="15" customHeight="1" x14ac:dyDescent="0.3"/>
    <row r="2063" ht="15" customHeight="1" x14ac:dyDescent="0.3"/>
    <row r="2064" ht="15" customHeight="1" x14ac:dyDescent="0.3"/>
    <row r="2065" ht="15" customHeight="1" x14ac:dyDescent="0.3"/>
    <row r="2066" ht="15" customHeight="1" x14ac:dyDescent="0.3"/>
    <row r="2067" ht="15" customHeight="1" x14ac:dyDescent="0.3"/>
    <row r="2068" ht="15" customHeight="1" x14ac:dyDescent="0.3"/>
    <row r="2069" ht="15" customHeight="1" x14ac:dyDescent="0.3"/>
    <row r="2070" ht="15" customHeight="1" x14ac:dyDescent="0.3"/>
    <row r="2071" ht="15" customHeight="1" x14ac:dyDescent="0.3"/>
    <row r="2072" ht="15" customHeight="1" x14ac:dyDescent="0.3"/>
    <row r="2073" ht="15" customHeight="1" x14ac:dyDescent="0.3"/>
    <row r="2074" ht="15" customHeight="1" x14ac:dyDescent="0.3"/>
    <row r="2075" ht="15" customHeight="1" x14ac:dyDescent="0.3"/>
    <row r="2076" ht="15" customHeight="1" x14ac:dyDescent="0.3"/>
    <row r="2077" ht="15" customHeight="1" x14ac:dyDescent="0.3"/>
    <row r="2078" ht="15" customHeight="1" x14ac:dyDescent="0.3"/>
    <row r="2079" ht="15" customHeight="1" x14ac:dyDescent="0.3"/>
    <row r="2080" ht="15" customHeight="1" x14ac:dyDescent="0.3"/>
    <row r="2081" ht="15" customHeight="1" x14ac:dyDescent="0.3"/>
    <row r="2082" ht="15" customHeight="1" x14ac:dyDescent="0.3"/>
    <row r="2083" ht="15" customHeight="1" x14ac:dyDescent="0.3"/>
    <row r="2084" ht="15" customHeight="1" x14ac:dyDescent="0.3"/>
    <row r="2085" ht="15" customHeight="1" x14ac:dyDescent="0.3"/>
    <row r="2086" ht="15" customHeight="1" x14ac:dyDescent="0.3"/>
    <row r="2087" ht="15" customHeight="1" x14ac:dyDescent="0.3"/>
    <row r="2088" ht="15" customHeight="1" x14ac:dyDescent="0.3"/>
    <row r="2089" ht="15" customHeight="1" x14ac:dyDescent="0.3"/>
    <row r="2090" ht="15" customHeight="1" x14ac:dyDescent="0.3"/>
    <row r="2091" ht="15" customHeight="1" x14ac:dyDescent="0.3"/>
    <row r="2092" ht="15" customHeight="1" x14ac:dyDescent="0.3"/>
    <row r="2093" ht="15" customHeight="1" x14ac:dyDescent="0.3"/>
    <row r="2094" ht="15" customHeight="1" x14ac:dyDescent="0.3"/>
    <row r="2095" ht="15" customHeight="1" x14ac:dyDescent="0.3"/>
    <row r="2096" ht="15" customHeight="1" x14ac:dyDescent="0.3"/>
    <row r="2097" ht="15" customHeight="1" x14ac:dyDescent="0.3"/>
    <row r="2098" ht="15" customHeight="1" x14ac:dyDescent="0.3"/>
    <row r="2099" ht="15" customHeight="1" x14ac:dyDescent="0.3"/>
    <row r="2100" ht="15" customHeight="1" x14ac:dyDescent="0.3"/>
    <row r="2101" ht="15" customHeight="1" x14ac:dyDescent="0.3"/>
    <row r="2102" ht="15" customHeight="1" x14ac:dyDescent="0.3"/>
    <row r="2103" ht="15" customHeight="1" x14ac:dyDescent="0.3"/>
    <row r="2104" ht="15" customHeight="1" x14ac:dyDescent="0.3"/>
    <row r="2105" ht="15" customHeight="1" x14ac:dyDescent="0.3"/>
    <row r="2106" ht="15" customHeight="1" x14ac:dyDescent="0.3"/>
    <row r="2107" ht="15" customHeight="1" x14ac:dyDescent="0.3"/>
    <row r="2108" ht="15" customHeight="1" x14ac:dyDescent="0.3"/>
    <row r="2109" ht="15" customHeight="1" x14ac:dyDescent="0.3"/>
    <row r="2110" ht="15" customHeight="1" x14ac:dyDescent="0.3"/>
    <row r="2111" ht="15" customHeight="1" x14ac:dyDescent="0.3"/>
    <row r="2112" ht="15" customHeight="1" x14ac:dyDescent="0.3"/>
    <row r="2113" ht="15" customHeight="1" x14ac:dyDescent="0.3"/>
    <row r="2114" ht="15" customHeight="1" x14ac:dyDescent="0.3"/>
    <row r="2115" ht="15" customHeight="1" x14ac:dyDescent="0.3"/>
    <row r="2116" ht="15" customHeight="1" x14ac:dyDescent="0.3"/>
    <row r="2117" ht="15" customHeight="1" x14ac:dyDescent="0.3"/>
    <row r="2118" ht="15" customHeight="1" x14ac:dyDescent="0.3"/>
    <row r="2119" ht="15" customHeight="1" x14ac:dyDescent="0.3"/>
    <row r="2120" ht="15" customHeight="1" x14ac:dyDescent="0.3"/>
    <row r="2121" ht="15" customHeight="1" x14ac:dyDescent="0.3"/>
    <row r="2122" ht="15" customHeight="1" x14ac:dyDescent="0.3"/>
    <row r="2123" ht="15" customHeight="1" x14ac:dyDescent="0.3"/>
    <row r="2124" ht="15" customHeight="1" x14ac:dyDescent="0.3"/>
    <row r="2125" ht="15" customHeight="1" x14ac:dyDescent="0.3"/>
    <row r="2126" ht="15" customHeight="1" x14ac:dyDescent="0.3"/>
    <row r="2127" ht="15" customHeight="1" x14ac:dyDescent="0.3"/>
    <row r="2128" ht="15" customHeight="1" x14ac:dyDescent="0.3"/>
    <row r="2129" ht="15" customHeight="1" x14ac:dyDescent="0.3"/>
    <row r="2130" ht="15" customHeight="1" x14ac:dyDescent="0.3"/>
    <row r="2131" ht="15" customHeight="1" x14ac:dyDescent="0.3"/>
    <row r="2132" ht="15" customHeight="1" x14ac:dyDescent="0.3"/>
    <row r="2133" ht="15" customHeight="1" x14ac:dyDescent="0.3"/>
    <row r="2134" ht="15" customHeight="1" x14ac:dyDescent="0.3"/>
    <row r="2135" ht="15" customHeight="1" x14ac:dyDescent="0.3"/>
    <row r="2136" ht="15" customHeight="1" x14ac:dyDescent="0.3"/>
    <row r="2137" ht="15" customHeight="1" x14ac:dyDescent="0.3"/>
    <row r="2138" ht="15" customHeight="1" x14ac:dyDescent="0.3"/>
    <row r="2139" ht="15" customHeight="1" x14ac:dyDescent="0.3"/>
    <row r="2140" ht="15" customHeight="1" x14ac:dyDescent="0.3"/>
    <row r="2141" ht="15" customHeight="1" x14ac:dyDescent="0.3"/>
    <row r="2142" ht="15" customHeight="1" x14ac:dyDescent="0.3"/>
    <row r="2143" ht="15" customHeight="1" x14ac:dyDescent="0.3"/>
    <row r="2144" ht="15" customHeight="1" x14ac:dyDescent="0.3"/>
    <row r="2145" ht="15" customHeight="1" x14ac:dyDescent="0.3"/>
    <row r="2146" ht="15" customHeight="1" x14ac:dyDescent="0.3"/>
    <row r="2147" ht="15" customHeight="1" x14ac:dyDescent="0.3"/>
    <row r="2148" ht="15" customHeight="1" x14ac:dyDescent="0.3"/>
    <row r="2149" ht="15" customHeight="1" x14ac:dyDescent="0.3"/>
    <row r="2150" ht="15" customHeight="1" x14ac:dyDescent="0.3"/>
    <row r="2151" ht="15" customHeight="1" x14ac:dyDescent="0.3"/>
    <row r="2152" ht="15" customHeight="1" x14ac:dyDescent="0.3"/>
    <row r="2153" ht="15" customHeight="1" x14ac:dyDescent="0.3"/>
    <row r="2154" ht="15" customHeight="1" x14ac:dyDescent="0.3"/>
    <row r="2155" ht="15" customHeight="1" x14ac:dyDescent="0.3"/>
    <row r="2156" ht="15" customHeight="1" x14ac:dyDescent="0.3"/>
    <row r="2157" ht="15" customHeight="1" x14ac:dyDescent="0.3"/>
    <row r="2158" ht="15" customHeight="1" x14ac:dyDescent="0.3"/>
    <row r="2159" ht="15" customHeight="1" x14ac:dyDescent="0.3"/>
    <row r="2160" ht="15" customHeight="1" x14ac:dyDescent="0.3"/>
    <row r="2161" ht="15" customHeight="1" x14ac:dyDescent="0.3"/>
    <row r="2162" ht="15" customHeight="1" x14ac:dyDescent="0.3"/>
    <row r="2163" ht="15" customHeight="1" x14ac:dyDescent="0.3"/>
    <row r="2164" ht="15" customHeight="1" x14ac:dyDescent="0.3"/>
    <row r="2165" ht="15" customHeight="1" x14ac:dyDescent="0.3"/>
    <row r="2166" ht="15" customHeight="1" x14ac:dyDescent="0.3"/>
    <row r="2167" ht="15" customHeight="1" x14ac:dyDescent="0.3"/>
    <row r="2168" ht="15" customHeight="1" x14ac:dyDescent="0.3"/>
    <row r="2169" ht="15" customHeight="1" x14ac:dyDescent="0.3"/>
    <row r="2170" ht="15" customHeight="1" x14ac:dyDescent="0.3"/>
    <row r="2171" ht="15" customHeight="1" x14ac:dyDescent="0.3"/>
    <row r="2172" ht="15" customHeight="1" x14ac:dyDescent="0.3"/>
    <row r="2173" ht="15" customHeight="1" x14ac:dyDescent="0.3"/>
    <row r="2174" ht="15" customHeight="1" x14ac:dyDescent="0.3"/>
    <row r="2175" ht="15" customHeight="1" x14ac:dyDescent="0.3"/>
    <row r="2176" ht="15" customHeight="1" x14ac:dyDescent="0.3"/>
    <row r="2177" ht="15" customHeight="1" x14ac:dyDescent="0.3"/>
    <row r="2178" ht="15" customHeight="1" x14ac:dyDescent="0.3"/>
    <row r="2179" ht="15" customHeight="1" x14ac:dyDescent="0.3"/>
    <row r="2180" ht="15" customHeight="1" x14ac:dyDescent="0.3"/>
    <row r="2181" ht="15" customHeight="1" x14ac:dyDescent="0.3"/>
    <row r="2182" ht="15" customHeight="1" x14ac:dyDescent="0.3"/>
    <row r="2183" ht="15" customHeight="1" x14ac:dyDescent="0.3"/>
    <row r="2184" ht="15" customHeight="1" x14ac:dyDescent="0.3"/>
    <row r="2185" ht="15" customHeight="1" x14ac:dyDescent="0.3"/>
    <row r="2186" ht="15" customHeight="1" x14ac:dyDescent="0.3"/>
    <row r="2187" ht="15" customHeight="1" x14ac:dyDescent="0.3"/>
    <row r="2188" ht="15" customHeight="1" x14ac:dyDescent="0.3"/>
    <row r="2189" ht="15" customHeight="1" x14ac:dyDescent="0.3"/>
    <row r="2190" ht="15" customHeight="1" x14ac:dyDescent="0.3"/>
    <row r="2191" ht="15" customHeight="1" x14ac:dyDescent="0.3"/>
    <row r="2192" ht="15" customHeight="1" x14ac:dyDescent="0.3"/>
    <row r="2193" ht="15" customHeight="1" x14ac:dyDescent="0.3"/>
    <row r="2194" ht="15" customHeight="1" x14ac:dyDescent="0.3"/>
    <row r="2195" ht="15" customHeight="1" x14ac:dyDescent="0.3"/>
    <row r="2196" ht="15" customHeight="1" x14ac:dyDescent="0.3"/>
    <row r="2197" ht="15" customHeight="1" x14ac:dyDescent="0.3"/>
    <row r="2198" ht="15" customHeight="1" x14ac:dyDescent="0.3"/>
    <row r="2199" ht="15" customHeight="1" x14ac:dyDescent="0.3"/>
    <row r="2200" ht="15" customHeight="1" x14ac:dyDescent="0.3"/>
  </sheetData>
  <sheetProtection formatCells="0" formatColumns="0" formatRows="0" autoFilter="0" pivotTables="0"/>
  <protectedRanges>
    <protectedRange sqref="A1:CA2" name="Rango1"/>
  </protectedRanges>
  <phoneticPr fontId="8" type="noConversion"/>
  <conditionalFormatting sqref="A2:BZ2">
    <cfRule type="expression" dxfId="4" priority="3608">
      <formula>+$BZ2="Sí"</formula>
    </cfRule>
  </conditionalFormatting>
  <conditionalFormatting sqref="A2:CA2">
    <cfRule type="expression" dxfId="3" priority="3607">
      <formula>+$CA2="Riesgo"</formula>
    </cfRule>
  </conditionalFormatting>
  <conditionalFormatting sqref="J2">
    <cfRule type="cellIs" dxfId="2" priority="3710" stopIfTrue="1" operator="equal">
      <formula>"Seguimientos al día"</formula>
    </cfRule>
  </conditionalFormatting>
  <conditionalFormatting sqref="C2">
    <cfRule type="duplicateValues" dxfId="1" priority="4056"/>
  </conditionalFormatting>
  <conditionalFormatting sqref="C1:C1048576">
    <cfRule type="duplicateValues" dxfId="0" priority="4058"/>
  </conditionalFormatting>
  <dataValidations count="15">
    <dataValidation type="date" allowBlank="1" showInputMessage="1" showErrorMessage="1" sqref="E2" xr:uid="{1DBD3C54-B64E-4D5A-8457-8383284977B3}">
      <formula1>45566</formula1>
      <formula2>45657</formula2>
    </dataValidation>
    <dataValidation type="list" allowBlank="1" showInputMessage="1" showErrorMessage="1" sqref="BF1 M1:M2 BE1:BE2 AI1:AI2 X1:X2 BP1:BP2 AT1:AT2 L3:L1048576 BD3:BE1048576 BO3:BO1048576 W3:W1048576 AH3:AH1048576" xr:uid="{DCA4FF82-BA95-4202-AF1A-13A9F72B06C5}">
      <formula1>INDIRECT("tabla1[]")</formula1>
    </dataValidation>
    <dataValidation type="list" allowBlank="1" showInputMessage="1" showErrorMessage="1" sqref="W1:W2 L1:L2 F1:G2 AH1:AH2 BO1:BO2 BD1:BD2 AS1:AS1048576 E3:F1048576 V3:V1048576 K3:K1048576 AG3:AG1048576 BC3:BC1048576 BN3:BN1048576" xr:uid="{D35AE474-9C61-41F4-AD32-E4BD83710C16}">
      <formula1>INDIRECT("tabla29[]")</formula1>
    </dataValidation>
    <dataValidation type="list" allowBlank="1" showInputMessage="1" showErrorMessage="1" sqref="P1:P2 AA1:AA2 AW1:AW2 BH1:BH2 AL1:AL2 Z3:Z1048576 O3:O1048576 AK3:AK1048576 BG3:BG1048576 AV3:AV1048576" xr:uid="{82B7B453-1DDB-4302-8534-96450D243DB7}">
      <formula1>INDIRECT("tabla26[]")</formula1>
    </dataValidation>
    <dataValidation type="list" allowBlank="1" showInputMessage="1" showErrorMessage="1" sqref="AP1:AP2 BG1 BF2:BG2 AJ1:AK2 Y1:Z2 BZ1:BZ2 N1:O2 BQ1:BR2 AU1:AV2 AE1:AE2 BW1:BW2 BL1:BL2 BA1:BA2 T1:T2 BK3:BK1048576 BY3:BY1048576 AZ3:AZ1048576 BF3:BF1048576 BV3:BV1048576 AT3:AU1048576 BP3:BQ1048576 AD3:AD1048576 AO3:AO1048576 AI3:AJ1048576 X3:Y1048576 S3:S1048576 M3:N1048576" xr:uid="{A59D11F7-2D01-4904-8438-9F0E0A916678}">
      <formula1>INDIRECT("tabla24[]")</formula1>
    </dataValidation>
    <dataValidation type="list" allowBlank="1" showInputMessage="1" showErrorMessage="1" sqref="B2" xr:uid="{7626C609-D25C-4C6F-B6EF-693C1D3BFBE6}">
      <formula1>INDIRECT("tabla5[]")</formula1>
    </dataValidation>
    <dataValidation type="list" allowBlank="1" showInputMessage="1" showErrorMessage="1" sqref="BB1:BB2 AF1:AF2 AQ1:AQ2 BX1:BX2 BM1:BM2 U1:U2 T3:T1048576 BW3:BW1048576 AE3:AE1048576 BL3:BL1048576 BA3:BA1048576 AP3:AP1048576 D2:D1048576" xr:uid="{A798A92A-009E-4417-8FAA-36B160454BA2}">
      <formula1>INDIRECT("tabla30[]")</formula1>
    </dataValidation>
    <dataValidation allowBlank="1" showInputMessage="1" showErrorMessage="1" sqref="R2" xr:uid="{EBB5E214-B66F-4618-B84B-86F94FB7C956}"/>
    <dataValidation type="list" allowBlank="1" showInputMessage="1" showErrorMessage="1" sqref="AM2 Q2 AB2 AX2 BT2 BI2" xr:uid="{62040878-1579-46E0-9285-41826915D966}">
      <formula1>INDIRECT(P2)</formula1>
    </dataValidation>
    <dataValidation type="custom" allowBlank="1" showInputMessage="1" showErrorMessage="1" sqref="V2" xr:uid="{950214E2-659A-4064-8FC0-E9A26A687ADF}">
      <formula1>+E2+15</formula1>
    </dataValidation>
    <dataValidation type="custom" allowBlank="1" showInputMessage="1" showErrorMessage="1" sqref="AG2" xr:uid="{DAA3A61E-7B4A-41E5-B6BC-F471C3793AF8}">
      <formula1>+E2+30</formula1>
    </dataValidation>
    <dataValidation type="custom" allowBlank="1" showInputMessage="1" showErrorMessage="1" sqref="AR2" xr:uid="{66992736-8DBE-41CD-9266-51F25C56A5D7}">
      <formula1>+E2+60</formula1>
    </dataValidation>
    <dataValidation type="custom" allowBlank="1" showInputMessage="1" showErrorMessage="1" sqref="BC2" xr:uid="{8C94587D-4EDB-4318-A8B5-38D87DBDD28F}">
      <formula1>+E2+120</formula1>
    </dataValidation>
    <dataValidation type="custom" allowBlank="1" showInputMessage="1" showErrorMessage="1" sqref="BN2" xr:uid="{CE0259EF-B1CC-48B0-B0FA-0C352535EBB6}">
      <formula1>+E2+180</formula1>
    </dataValidation>
    <dataValidation type="custom" allowBlank="1" showInputMessage="1" showErrorMessage="1" sqref="K2" xr:uid="{588B60F5-FDDC-4233-AA5F-1FAB06246CE6}">
      <formula1>+E2+3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92A633-9E89-4D60-811B-96C56D6CEA72}">
          <x14:formula1>
            <xm:f>Tablas!$T$10</xm:f>
          </x14:formula1>
          <xm:sqref>CA1:CA2 BZ3:BZ1048576</xm:sqref>
        </x14:dataValidation>
        <x14:dataValidation type="list" allowBlank="1" showInputMessage="1" showErrorMessage="1" xr:uid="{7641131B-8D11-4ABF-A7E6-D37F3A1E11FD}">
          <x14:formula1>
            <xm:f>Tablas!$J$1:$V$1</xm:f>
          </x14:formula1>
          <xm:sqref>BS1:BS2 BR3:BR1048576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13</vt:i4>
      </vt:variant>
    </vt:vector>
  </HeadingPairs>
  <TitlesOfParts>
    <vt:vector size="16" baseType="lpstr">
      <vt:lpstr>Hoja4</vt:lpstr>
      <vt:lpstr>Tablas</vt:lpstr>
      <vt:lpstr>Seguimiento</vt:lpstr>
      <vt:lpstr>Barreras_Entidad</vt:lpstr>
      <vt:lpstr>Barreras_Justicia_Fiscalia</vt:lpstr>
      <vt:lpstr>Barreras_Justicia_General</vt:lpstr>
      <vt:lpstr>Barreras_Justicia_INMLCF</vt:lpstr>
      <vt:lpstr>Barreras_Justicia_juzgado</vt:lpstr>
      <vt:lpstr>Barreras_Proteccion_Comisaria</vt:lpstr>
      <vt:lpstr>Barreras_Proteccion_Fiscalia</vt:lpstr>
      <vt:lpstr>Barreras_proteccion_inspeccion</vt:lpstr>
      <vt:lpstr>Barreras_proteccion_Juzgado_Garantias</vt:lpstr>
      <vt:lpstr>Barreras_proteccion_Juzgado_municipal</vt:lpstr>
      <vt:lpstr>Barreras_proteccion_Policia</vt:lpstr>
      <vt:lpstr>Barreras_Salud</vt:lpstr>
      <vt:lpstr>Barreras_UNP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Vladimir Garcia Montejo</dc:creator>
  <cp:keywords/>
  <dc:description/>
  <cp:lastModifiedBy>Vladimir Garcia Montejo</cp:lastModifiedBy>
  <cp:revision/>
  <dcterms:created xsi:type="dcterms:W3CDTF">2024-10-30T21:03:06Z</dcterms:created>
  <dcterms:modified xsi:type="dcterms:W3CDTF">2025-04-24T15:13:13Z</dcterms:modified>
  <cp:category/>
  <cp:contentStatus/>
</cp:coreProperties>
</file>